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3672\Downloads\"/>
    </mc:Choice>
  </mc:AlternateContent>
  <bookViews>
    <workbookView xWindow="0" yWindow="0" windowWidth="28800" windowHeight="12180"/>
  </bookViews>
  <sheets>
    <sheet name="ACD" sheetId="1" r:id="rId1"/>
  </sheets>
  <externalReferences>
    <externalReference r:id="rId2"/>
    <externalReference r:id="rId3"/>
  </externalReferences>
  <definedNames>
    <definedName name="_xlnm._FilterDatabase" localSheetId="0" hidden="1">ACD!$A$1:$H$445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45" i="1" l="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<sst xmlns="http://schemas.openxmlformats.org/spreadsheetml/2006/main" count="2672" uniqueCount="711">
  <si>
    <t>Sl No</t>
  </si>
  <si>
    <t>ACD Ref No</t>
  </si>
  <si>
    <t>Department</t>
  </si>
  <si>
    <t>Line of Business</t>
  </si>
  <si>
    <t>Module</t>
  </si>
  <si>
    <t>Function</t>
  </si>
  <si>
    <t>Requirement</t>
  </si>
  <si>
    <t>Nature of Fit</t>
  </si>
  <si>
    <t>UW</t>
  </si>
  <si>
    <t>Motor</t>
  </si>
  <si>
    <t>Master</t>
  </si>
  <si>
    <t>Office Master</t>
  </si>
  <si>
    <r>
      <t xml:space="preserve">YAS has its head office in AbuDabhi and currently have THREE other offices in  a) Dubai, b) Al Ain c) Abu Dhabi (Muroor) .
Based on business need, there may be additional offices opened for operating efficiency. 
STATIM to configure these </t>
    </r>
    <r>
      <rPr>
        <b/>
        <sz val="11"/>
        <color theme="1"/>
        <rFont val="Calibri"/>
        <family val="2"/>
        <scheme val="minor"/>
      </rPr>
      <t>FOUR</t>
    </r>
    <r>
      <rPr>
        <sz val="11"/>
        <color theme="1"/>
        <rFont val="Calibri"/>
        <family val="2"/>
        <scheme val="minor"/>
      </rPr>
      <t xml:space="preserve"> offices. 
The office codes in STATIM will be as follows :
a)  1 - Abu Dubai HO
b) 2 - Dubai 
c)  3 - Al Ain
d) 4 - Abu Dhabi(Muroor)</t>
    </r>
  </si>
  <si>
    <t>Configurable</t>
  </si>
  <si>
    <t>Configurator</t>
  </si>
  <si>
    <t>Product Configurator</t>
  </si>
  <si>
    <t>In Motor Business is mapped under Motor Line of Business,
The motor products may be broadly classified as 
i) Private and ii) Commercial.
Under Private the following Products are active and frequently used:
a) Motor Private Comprehensive
b) Motor Private Third Party 
c) Motor Private Fleet Comprehensive
d) Motor Private Fleet Third Party
e) Motor Export
There are another 10 more products - refer sheet Product List. Though these products are not currently in use, these products need to be migrated to facilitate
a) Any statistics that the regulator may ask and
b) Any claim that may arise on policies already issued ( the insured/claimant can make a claim upto end of THREE years from the policy expiry date. 
c) When there is outstanding claim, the policy of it has to be migrated.
( Refer Document on Migration - for approach and strategy )</t>
  </si>
  <si>
    <t>New Business</t>
  </si>
  <si>
    <t>Quotation</t>
  </si>
  <si>
    <t>The requirement is to create quote, iterate, compare quotes and then mature the best in terms to policy. 
Location, Branch needed to be captured</t>
  </si>
  <si>
    <t>Available</t>
  </si>
  <si>
    <t>Policy Period</t>
  </si>
  <si>
    <t>The policy issue/effective date will be system date ( current date ) . The back dating of policy is usually not allowed. However in specific business scenario the back dating of policy may be needed and the same has to be achieved through User Auth.</t>
  </si>
  <si>
    <t>Cover Note</t>
  </si>
  <si>
    <t>There is no practice of issuing covernote. Hence the covernote functionality is not needed in STATIM.
( Though earlier there was slot of covernote books issued to broker and the brokers were using the same to underwrite policies)</t>
  </si>
  <si>
    <t>Not Required</t>
  </si>
  <si>
    <t>UW Year</t>
  </si>
  <si>
    <t>The Uw year is calendar year i.e. 1st Jan xx to 31st Dec xx. which is 2024, 2025, 2026 etc will be based on the policy effective from date. 
Any endorsement on the policy will also have the Uw year of the policy.</t>
  </si>
  <si>
    <t>Integration - E-Data</t>
  </si>
  <si>
    <r>
      <t>The vehicle details are pulled from eData. There are THREE API services currently offered and these are
1. Details of vehicle information which gets picked based on Chassis Number
2. Whether the vehicle is GCC or non GCC.
3. Value of the vehicle.
F</t>
    </r>
    <r>
      <rPr>
        <b/>
        <sz val="11"/>
        <color theme="1"/>
        <rFont val="Calibri"/>
        <family val="2"/>
        <scheme val="minor"/>
      </rPr>
      <t>or Fleet vehicle we do not hit eData for picking information</t>
    </r>
  </si>
  <si>
    <t>Integration</t>
  </si>
  <si>
    <t>Vehicle Value</t>
  </si>
  <si>
    <t>In addition to value from eData, there is a need to have
1. Minimum value, 
2. Maximum value and
3. Mid-value ( average of minimum and maximum value )
There is a need for min/max value at each vehicle make/model/variant level  
4. The minimum , maximum value may further be revised in the transaction 
a) Either the value will be revised OR
b) Percentage will be revised. 
Such revision will be based on User Authorisation.
Mid value should be defaulted. 
There may be instances where the value of the vehicle will not be returned from e-data, in such cases the enable the manual entry of vehicle value and proceed with the issuance and supervisor approval.</t>
  </si>
  <si>
    <t>Premium Calculation</t>
  </si>
  <si>
    <r>
      <t xml:space="preserve">The premium terminology is referred as below:
Gross = Sum Insured * Rate
Net = Gross + Loading-Discount + Add on Premiums
Total = Net + Fees + Charges.
Final Total = Total + VAT
It is to be noted that on Add on Premiums there is NO loading/discount. Mostly Add on cover premium will be a flat amount. 
There are some Add Ons which are currently mapped as fees/charges. The reason for mapping these now in Aman application is to ensure that the accounting happens to seperate ( other than premium )head of account .
In STATIM, the Add Ons, will be mapped as Add on Covers. The accounting of Add On cover to head of accounting ( other than premium ) can be achieved by mapping the head of account at cover level. Discussion with Finance team to conclude on this. The premium of Add On, is considered for computing broker commission. 
For some of Add on cover premium Like Rent a Car cover premium  there is NO refund, when the policy is cancelled. 
In Aman the following are configured as fees/charges 
a) veh reg fees, b) e-wallet prem, c) airport dropoff,d) rent a car, e)ambulance fees,f) issue fees,g) Service charges.
In STATIM the following will be configured as 
</t>
    </r>
    <r>
      <rPr>
        <b/>
        <sz val="11"/>
        <color theme="1"/>
        <rFont val="Calibri"/>
        <family val="2"/>
        <scheme val="minor"/>
      </rPr>
      <t>Add on covers:</t>
    </r>
    <r>
      <rPr>
        <sz val="11"/>
        <color theme="1"/>
        <rFont val="Calibri"/>
        <family val="2"/>
        <scheme val="minor"/>
      </rPr>
      <t xml:space="preserve">
a) veh reg fees b) airport dropoff c) rent a car d) ambulance fees.
</t>
    </r>
    <r>
      <rPr>
        <b/>
        <sz val="11"/>
        <color theme="1"/>
        <rFont val="Calibri"/>
        <family val="2"/>
        <scheme val="minor"/>
      </rPr>
      <t>Following are NOT needed</t>
    </r>
    <r>
      <rPr>
        <sz val="11"/>
        <color theme="1"/>
        <rFont val="Calibri"/>
        <family val="2"/>
        <scheme val="minor"/>
      </rPr>
      <t xml:space="preserve">
a) e-wallet premium
b) Service charge
Following will be configured as fees
a) Issue Fee</t>
    </r>
  </si>
  <si>
    <t>Mode of payment</t>
  </si>
  <si>
    <t xml:space="preserve">For retail product  - if the insured is a walk in customer, then collection mode will be through "payment link".
If the insured is through a broker, collection will be through Payment link to insured and split will happen for the commission as per the setup defined in TELR(service provider) </t>
  </si>
  <si>
    <t>Currency</t>
  </si>
  <si>
    <t>The Sum Insured and Premium are always in AED.
a) There is no installment for retail products 
b) Installment is applicable for fleet policies.</t>
  </si>
  <si>
    <t>Integration - TELR</t>
  </si>
  <si>
    <t xml:space="preserve">TELR - product information will be shared through api for the issued policy. Finance team will enter the commission % in the TELR system through online portal. This % will be considered for splitting the broker commission to pay. Refer points related to TELR under Finance. </t>
  </si>
  <si>
    <t>Customer - Insured</t>
  </si>
  <si>
    <r>
      <t xml:space="preserve">KYC verification will be done for the owner of the vehicle(Insured) for Individual Private policies.
For firms/corporate the KYC will be verified for promotors or the owners. The frquency and the duration is as per the regulation. </t>
    </r>
    <r>
      <rPr>
        <b/>
        <sz val="11"/>
        <color theme="1"/>
        <rFont val="Calibri"/>
        <family val="2"/>
        <scheme val="minor"/>
      </rPr>
      <t xml:space="preserve">
Add a sheet to state the regulation.
</t>
    </r>
    <r>
      <rPr>
        <sz val="11"/>
        <color theme="1"/>
        <rFont val="Calibri"/>
        <family val="2"/>
        <scheme val="minor"/>
      </rPr>
      <t>YAS is in discussion with the vendor for KYC verification and once the vendor is finalised discussion will be held on its integration.
OCR for Emirate ID</t>
    </r>
  </si>
  <si>
    <t>To be developed</t>
  </si>
  <si>
    <t>Beneficiary Details</t>
  </si>
  <si>
    <t>As per regulation Beneficiary details should be captured as a mandatory. 
Normally Insured details will be capture/populated. Following details to be available to capture or populate
Name
ID Type
Emirate ID/Passport No
Nationality
Customer Classification - KYC classification</t>
  </si>
  <si>
    <t>Language</t>
  </si>
  <si>
    <t>Rendering of data, screen &amp; labels should be in Arabic also. When the user select the language as Arabic then system should show the screen labels, data in arabic text.
Arabic content will be shared by Yas</t>
  </si>
  <si>
    <t>Document prints(schedule, certificate, letter,etc) should have both arabic and english content printed on the document.</t>
  </si>
  <si>
    <t>Broker Policy</t>
  </si>
  <si>
    <t>For Broker policy the Broker name will be selected in Proposer/Prospect field and Insured will be selected in the Insured field</t>
  </si>
  <si>
    <t>Product change (Swap)</t>
  </si>
  <si>
    <t>On a Comprehensive policy - after 3 at fault claims Yas will cancel the Own Damage cover and retain on the TPL.  Endorsement will be passed to remove the Own Damage cover and maintain TPL cover alone.  No need to change the product. (Need confirmation from the Motor UW department).</t>
  </si>
  <si>
    <t>Deductible</t>
  </si>
  <si>
    <r>
      <t xml:space="preserve">Deductible is per vehicle. 
Two types of deductibles needed
1. Basic deductible which is Fixed 
2. Additional Deductible which is a Precentage of vehicle value
Both fixed and additional deductible are applicable for a policy. 
</t>
    </r>
    <r>
      <rPr>
        <b/>
        <sz val="11"/>
        <color theme="1"/>
        <rFont val="Calibri"/>
        <family val="2"/>
        <scheme val="minor"/>
      </rPr>
      <t>Basic deductible will be defined based on body type, number of passenger(seats) &amp; vehicle value a fixed value will be defined.
Additional deductiles will be defined based on Age of the driver, Usage, Modification done, Rental vehicles as % of claim amount</t>
    </r>
  </si>
  <si>
    <t>Add on covers</t>
  </si>
  <si>
    <t>Rent a car services will be provided for accident only. Services will be provided for limited period only.
Will be included as a Add-on cover. 
However the services, process of car services will be availed by insured. The services, process etc are outside STATIM.</t>
  </si>
  <si>
    <t>Vehicle registration fees</t>
  </si>
  <si>
    <t>Airport drop off</t>
  </si>
  <si>
    <t>Ambulance fees</t>
  </si>
  <si>
    <t>Commission</t>
  </si>
  <si>
    <t>Broker commission will be calculated on Total Premium only (Premium-Discount+Loading+Add on Premium)</t>
  </si>
  <si>
    <t>Payment Mode</t>
  </si>
  <si>
    <t>Only Payment link is applicable for Individual customers.
Currently Cash &amp; Cheque payments are not accepted by Yas since the integration of TELR application is in place - confirmation required from Finance team</t>
  </si>
  <si>
    <t>Under development</t>
  </si>
  <si>
    <t>Fleet</t>
  </si>
  <si>
    <t>Minimum 5 and above vehicles will be issued as Fleet policies. 
Note - at present 7000+ vehicles available in a policy and the expected count for Yas upto cover 25000 vehicles in a single policy.</t>
  </si>
  <si>
    <t>For upload of vehicles in  the excel sheet 
a) For some vehicles there may be driver(s) for some other vehicles there may not be named driver.
There may be more than one driver for a vehicle. So there has to be facility to upload more than one driver for a vehicle. 
b) The basic cover will be same for all the vehicles 
c) However  Add on covers can be different for each vehicle.
d) The premium amount is a predefined and will be provided for each vehicle. 
Hence there is NO calculation of premium needed during upload.
Hence during upload apart from
1. Vehicle details,
2. Driver details ( if applicable ),
3. Add on covers for each vehcile,
4. Premium will be given for each vehicle
5. Deductibles per vehicle</t>
  </si>
  <si>
    <r>
      <t xml:space="preserve">For a vehicle included in fleet policy in the mid of the policy period a certificate will be issued by insurance company which will be valid for 12 months </t>
    </r>
    <r>
      <rPr>
        <b/>
        <sz val="11"/>
        <color theme="1"/>
        <rFont val="Calibri"/>
        <family val="2"/>
        <scheme val="minor"/>
      </rPr>
      <t>b</t>
    </r>
    <r>
      <rPr>
        <sz val="11"/>
        <color theme="1"/>
        <rFont val="Calibri"/>
        <family val="2"/>
        <scheme val="minor"/>
      </rPr>
      <t>ut the effective to date of the vehicle remains same as policy effective to date.
Example : Policy Period 1st Jan 26 to 31 Dec 26
A vehicle ABC is insured from 1st Jun 26. Now the expiry date of the insurance for vehcile ABC is 31st Dec 26. Though the registration of the vehicle is valid till 31st May 27.
The premium for this vehcile will be calculated on pro-rata basis.
Now, this ABC vehicle may be renewed with YAS or any of its competitors. However this vehicle has to be taken to licensing authority for registration renewal before 31st May 27.
To facilitate the renewal of registration for the vehicle, YAS will issue a letter to the insured. The request for such a letter will be received from the corporate insured who had taken the policy - such a request will be outside STATIM.</t>
    </r>
  </si>
  <si>
    <t>Integration - RTA/EVG</t>
  </si>
  <si>
    <t>For fleet cases - data sent to rta or evg based on the vehicle registration
For fleet cases separate screen required to upload the vehicles to RTA &amp; EVG once we receive the registration document from the customer
For non fleet cases direct integration to RTA &amp; EVG may be done.
For both the above cases if any error is received in response then feature should be available to correct the same and send it to RTA/EVG.</t>
  </si>
  <si>
    <t>In case of fleet policies, there has to be option to download Error records only update and reupload.</t>
  </si>
  <si>
    <t>Fleet Doc print</t>
  </si>
  <si>
    <t xml:space="preserve">In case of fleet, there is an option needed to print the matrix of vehicle and also individual certificate for each vehicle. </t>
  </si>
  <si>
    <t>Doc print</t>
  </si>
  <si>
    <t>Bar Code required to be populated in the policy schedule</t>
  </si>
  <si>
    <t>QR code to be populated in the policy schedule. On scanning the code the system should the conditions attached for that policy</t>
  </si>
  <si>
    <t>Renewal</t>
  </si>
  <si>
    <t>a) For renewal also we need to integrate with e-data for fetching the vehicle value
b) If there is a change in owner we need to check the KYC as well
C) The renewal will happen in any office of YAS. Here the renewal will be achieved through access rights for the user. Example:
User A is an employee in Abu Dabhi. Policy XYZ is issued from Dubai. Its renewal comes to Abu Dabhi office. Now User A, will change his/her office to Dubai and renew the policy. 
The premium will be collected through premium link.
As both the policy and collection will happen in Dubai office there is NO inter office transaction.</t>
  </si>
  <si>
    <t>Rating</t>
  </si>
  <si>
    <t>Provision required to define the tariff table</t>
  </si>
  <si>
    <t>Need a provision to Hold or exclude a tariff record or based on the type of vehicle or country of origin.
For example if loss ratio is higher for American Salon type then for the same type the tariff record should be updated as Hold or Exclude..ie tariff should not be picked for premium calculation</t>
  </si>
  <si>
    <t>Provision required to define Promotions based on vehicle make model. Promo discount will be applicable for select period only</t>
  </si>
  <si>
    <t>Business Rule</t>
  </si>
  <si>
    <t>Also there may be a need to bring either black listing or business rule, that will ensure that the vehicle, is not being used for the transaction</t>
  </si>
  <si>
    <r>
      <t>Brokerwise tariff is needed, where  there a need to map the rates per broker.
 There may be cases where the premium quoted may be l</t>
    </r>
    <r>
      <rPr>
        <b/>
        <sz val="11"/>
        <color theme="1"/>
        <rFont val="Calibri"/>
        <family val="2"/>
        <scheme val="minor"/>
      </rPr>
      <t>ower than  minimum premium - which is transactional decision.</t>
    </r>
    <r>
      <rPr>
        <sz val="11"/>
        <color theme="1"/>
        <rFont val="Calibri"/>
        <family val="2"/>
        <scheme val="minor"/>
      </rPr>
      <t xml:space="preserve">
Some Scheme have different rates - rate of premium and commission. ( Scheme refers to promotion for a period ). </t>
    </r>
  </si>
  <si>
    <t>Orange Card</t>
  </si>
  <si>
    <t xml:space="preserve">Orange card - Yas will login to Al Aliya insurance portal and punch the Orange card period which is applicable for Oman only. This punching of data in portal is outside STATIM scope. </t>
  </si>
  <si>
    <t>Endorsement</t>
  </si>
  <si>
    <t>Endorsement will be passed to include Orange Card cover in Yas policy. So that claim can be registered for the Orange Card cover in Yas application.</t>
  </si>
  <si>
    <t>Reinsurance</t>
  </si>
  <si>
    <t xml:space="preserve">Exceeding RI - FAC will be placed. Since Motor is having the treaty capacity as 3 million, most of the cases will fall within the treaty capacity. </t>
  </si>
  <si>
    <t>Workflow should be triggered to reinsurance department for the policies exceeding treaty capacity to do the FAC placement</t>
  </si>
  <si>
    <t>Workflow</t>
  </si>
  <si>
    <t>Refer to document on TELR  system</t>
  </si>
  <si>
    <t>Claims</t>
  </si>
  <si>
    <t>FNOL</t>
  </si>
  <si>
    <t xml:space="preserve">Reporting of claims will be done through various channels. </t>
  </si>
  <si>
    <t>All the motor claims are reported to Police.</t>
  </si>
  <si>
    <t>Claimant will provide following details while notifying the claim
a. Date of loss
b. Driving License
c. Police report
d. Accident fotos
Upon receiving the above documents the FNOL will be created.</t>
  </si>
  <si>
    <t>OCR</t>
  </si>
  <si>
    <t>OCR option is required for reading the police report. Data should be populated from the police report to the FNOL screen.</t>
  </si>
  <si>
    <t>Registration</t>
  </si>
  <si>
    <t>Upon registering the claim the customer should receive SMS</t>
  </si>
  <si>
    <t>Spot Survey</t>
  </si>
  <si>
    <t>There is no spot survey. If the vehicle is drivable, then the insured takes the vehicle to the Authorised Dealer or Garage. The Dealer or Garage gives an estimate. The insurer appoints internal /external surveyor to inspect,and assessment. Mostly internal surveyors are appointed. 
In case where there is a need to cross verify the claim / investigate then the external surveyor is appointed. 
The vehicle damage details is sent to other garages and estimate taken. Based on the estimates received the negotation is carried with the garage. 
Usually the LPO is given as 
a) Lumpsum for parts and
b) Labour.
( There will be a need to have break up for parts as well ).
The garage states the days by which the repair will be completed.
In case of authorised dealer, as it is pre-defined for the vehicle and there is not much assessment of accident service can be made. Hence the days by which repair will be completed may not be made use of by insurer.</t>
  </si>
  <si>
    <t>Agency</t>
  </si>
  <si>
    <t>Agency details should be captured in the policy based on the make of the vehicle. 
The Agencies are different for each vehicle/ city.</t>
  </si>
  <si>
    <t>Once the claim is registered the agency allocation should happen automatically based on the claim location if it is attached in the policy. 
If the agency is not attached in the policy then List of agency should be available as a drop down in the claims for selection. This selection will be manual based on the information received from insured.</t>
  </si>
  <si>
    <t>Estimate</t>
  </si>
  <si>
    <t>Currently the estimate is captured manually - which is usually 1000 for repair claims. However in STATIM the estimat value may be configured for the cause/nature and vehcile make model  which can be used to default the value of estimate</t>
  </si>
  <si>
    <t>LPO</t>
  </si>
  <si>
    <t>The insured/ claimant can decide to chose from one of this option
1. Replace damaged parts with new part OR
2. Replace damaged parts with second hand parts. 
When the replacement is made with the new part, then depreciation will be applied as applicable for the parts. 
When the replacement is made with second hand parts(used) then there is no depreciation applicable.
In case of Authorised Dealer ( Agency Repair ) it is always with Oprion 1. Only in case of Garage it may be with either Option 1 or Option 2</t>
  </si>
  <si>
    <t>Deductible will be applied only if Insured is at fault. 
In this scenario the agency will be paid after deducting the excess. 
Its agency's responsibility to collect the deductible amount from the Insured.
If insured is not at fault, then the deductible will not be considered for settlement.</t>
  </si>
  <si>
    <t>After receiving the police report along with the fotos YAS will be sending the fotos to various workshop to obtain the quotations. The fotos will be sent as email communication. There has to be facility to configure email and send email communication to the garages.</t>
  </si>
  <si>
    <t>Sub work order</t>
  </si>
  <si>
    <t xml:space="preserve">Based on the approval received from the insurance company the repairer will proceed with the repair. During the course of work the repairer identifies additional items to be replaced or repaired, in this scenario the repairer will send the details to the Insurance Company. 
When the repairer has not commenced repair, then there is need to amend LPO. After commencing work, if any additional parts are found to be damaged, then additional estimate may be submitted by the garage. 
But provision required to create multiple quotations for various garages based on the scope of additional repair cost. This creates facility for Insurance company to negotiate with the repairer based on the lowest quotation received from other garages. 
The additional work will be processed as a sub work order. </t>
  </si>
  <si>
    <t>Non agency</t>
  </si>
  <si>
    <t>Non agency - after registration it should trigger to external surveyor.</t>
  </si>
  <si>
    <t>Once the Scope of repair received from the one garage, same will be shared with various garages to obtain the quotations</t>
  </si>
  <si>
    <t>LPO for Agency</t>
  </si>
  <si>
    <t>LPO for agency will be from 1 garage only (agency )
Estimation duration days for repair will be provided by the garage.</t>
  </si>
  <si>
    <t>Reserve amount</t>
  </si>
  <si>
    <t>Default reserve amount can be created based on the NOL,COL</t>
  </si>
  <si>
    <t>Provision should be available to select Replace with old or New part.</t>
  </si>
  <si>
    <t>Estimate value</t>
  </si>
  <si>
    <t>For the TP estimate if the estimate value &gt;5000, and YAS is affected party then YAS will be sending the details to TP insurance company. Appointment of Surveyor will be done by liable insurance company.</t>
  </si>
  <si>
    <t>Grace Period</t>
  </si>
  <si>
    <t>Registration for the vehicle is for 12 months where as policy issued for 13 months. One month grace period to register the vehicle. During grace period if loss occurred YAS is liable to settle the claim.</t>
  </si>
  <si>
    <t>Fault %</t>
  </si>
  <si>
    <t>Deductible operates for insured at fault.
Insured at fault:
Deductible will be applied for Agency or Non-Agency claims for the Insured
Insured Not at fault:
Deductible will not be applied for Agency or Non-Agency claims for the Insured
Fault % is not having any impact in creation of recovery estimate. YAS will decide whether Insured is At Fault or Not at Fault only. Based on which YAS will create recovery estimate manually</t>
  </si>
  <si>
    <t>Salvage recovery</t>
  </si>
  <si>
    <t>If third party insurance recovery needs to be done on a claim and if there is a salvage recovery applicable for the claim, then Net of salvage will be recovered from tp insurance company.
For eg
Claim Recovery : 2000. Salvage : 500.
To be recovered from Liability Insurance Co 1500 ?</t>
  </si>
  <si>
    <t>Recovery</t>
  </si>
  <si>
    <r>
      <rPr>
        <sz val="11"/>
        <color theme="1"/>
        <rFont val="Calibri"/>
        <family val="2"/>
        <scheme val="minor"/>
      </rPr>
      <t>Recovery cases based on the age of the vehicle % will be applied for Agency Repair vehicles</t>
    </r>
    <r>
      <rPr>
        <b/>
        <sz val="11"/>
        <color theme="1"/>
        <rFont val="Calibri"/>
        <family val="2"/>
        <scheme val="minor"/>
      </rPr>
      <t xml:space="preserve">
YAS to provide the %.</t>
    </r>
  </si>
  <si>
    <t>Mobile app</t>
  </si>
  <si>
    <t>If surveyor needs to investigate for more vehicles then it should be done through a Mobile app. Suveryor will visit the site and take photos and upload the same in the mobile app. All the fotos should get uploaded to the claims system against each claim/vehicle.</t>
  </si>
  <si>
    <t>Credit Note</t>
  </si>
  <si>
    <t xml:space="preserve">Once the claim is settled the credit note will get generated. </t>
  </si>
  <si>
    <t>Parties</t>
  </si>
  <si>
    <t>Claims Involved parties are captured in the system ( AMAN ) and currently
0 means insured
1 means tp
This can be achieved by means of a toggle. Say for eg if Third Party is involved then Third Party flag will be switched on and the details will be captured.</t>
  </si>
  <si>
    <t>LPO - After getting various quotations from different garages still YAS can say/give the counter amount. Whichever garage agrees for the counter amount the LPO will be issued to that Garage. 
Sub work order require multiple quotation to arrive the value</t>
  </si>
  <si>
    <t>Towing details</t>
  </si>
  <si>
    <t>Towing details should be captured</t>
  </si>
  <si>
    <t>Tracking of RSA</t>
  </si>
  <si>
    <t>Tracker required to maintain RSA services in uw itself</t>
  </si>
  <si>
    <t>Total Loss</t>
  </si>
  <si>
    <t>Total loss - process required. If estimated repair cost is greater than 50 % of the vehicle value then it should be flagged as a Total Loss.</t>
  </si>
  <si>
    <t>Repair Cost will be default estimate with 1000.
IF it is a total loss then Repair Cost estimate will be made as 0 and create a Total Loss Estimate</t>
  </si>
  <si>
    <t>Third Party Bodily Injury</t>
  </si>
  <si>
    <t>TP BI -table of benefits - 
Currently handled manually in the system. Same will be continued in STATIM</t>
  </si>
  <si>
    <t>Depreciation</t>
  </si>
  <si>
    <t>Depreciation at parts level is user decision. 
If is a Used Parts then depreciation will not be applied.
For new parts depereciation will be applied.
% of depreciation should be based on the make of the vehicle</t>
  </si>
  <si>
    <t>LPO access</t>
  </si>
  <si>
    <t>Workshop(LPO) module to be exposed to garages - need to discuss on this</t>
  </si>
  <si>
    <t>Feedback on garages</t>
  </si>
  <si>
    <t>Feedback on garage - is provision to capture star score and comments needed ? However  during conversation it was concluded that feedback/scores is NOT needed,- as the feedback given may not be objectibve.
Hence it was mentioned that there will be reports that can be facilitated, giving the days taken to complete job, additional invoice coming in, can be criteria for decision to know the efficiency of the garage.</t>
  </si>
  <si>
    <t>Risk details</t>
  </si>
  <si>
    <t>KM reading can be made mandatory in uw to arrive the value for the vehicle.
The understaning is the vehicle data fetched from e-Data contains KM reading wise vehicle value.</t>
  </si>
  <si>
    <t>General</t>
  </si>
  <si>
    <t>Reinstatement of Cancelled policy</t>
  </si>
  <si>
    <t>Due to non payment of premium YAS may cancel the policy. Customer will come and pay the premium. In this scenario YAS want to reinstatethe cancelled policy since inception.
Due to non compliance of data/document/partial payment YAS may cancel the policy by refunding pro-rated premium. After that the customer comply with the requirement, in this scenario YAS want to Reinstate the cancelled policy in pro-rated basis from Cancellation date.
If there is a change in rating after cancellation then YAS will issue a new policy.</t>
  </si>
  <si>
    <t>Credit</t>
  </si>
  <si>
    <t>Finance team should inform the uw team to get approval for individual policies. Credit limit to be discussed with finance team. Currently there is no control on outstanding premium and credit limt. credit days or credit limit should be validated. If any one  fails then policy/endorsement to be stopped. 
System should show the notification whether to issue a policy or not based on the credit limit.
In some cases credit limit is not used for general but outstanding premium is there in health - cross utilisation of credit limits be facilitated ? 
In STATIM, either the credit limit can be defined for across LOB's or for each LOB. If there is a business need to cross utilise the credit limits, then a single credit limit has to be defined across all LOB's.</t>
  </si>
  <si>
    <r>
      <t xml:space="preserve">In case a broker credit is not good, the finance team, will withdraw/ freeze the credit limit and credit days. 
</t>
    </r>
    <r>
      <rPr>
        <b/>
        <sz val="11"/>
        <color theme="1"/>
        <rFont val="Calibri"/>
        <family val="2"/>
        <scheme val="minor"/>
      </rPr>
      <t>In STATIM such withdrawal/freezing can be achieved by amending the Entity and downsizing the credit limit and credit days.
The standard credit days for individual insured is 60 days and for corporate insured it is 90 days.
The standard credit days for broker firm is 60 days and for corporate broker it is 90 days</t>
    </r>
  </si>
  <si>
    <t>Product</t>
  </si>
  <si>
    <r>
      <t xml:space="preserve">In Engineeering policy, the policy may be for the project duration, which may be 
a) Annual , b) Less than 12m or c) Greater than 12m
</t>
    </r>
    <r>
      <rPr>
        <b/>
        <sz val="11"/>
        <color theme="1"/>
        <rFont val="Calibri"/>
        <family val="2"/>
        <scheme val="minor"/>
      </rPr>
      <t>On Pricing</t>
    </r>
    <r>
      <rPr>
        <sz val="11"/>
        <color theme="1"/>
        <rFont val="Calibri"/>
        <family val="2"/>
        <scheme val="minor"/>
      </rPr>
      <t xml:space="preserve">
It is suggested that the rating/pricing may be defined for a project. and, 
b) It is also possible that in Property Insurance for covering exhibition or stall, which is for a shorter duration, but the premium is annual premium. 
The above can be achieved based on the occupancy, and defining the same in the rate table. 
However the practice is to have user entered premium for covering exhibition or stall instead of rating definition. 
</t>
    </r>
    <r>
      <rPr>
        <b/>
        <sz val="11"/>
        <color theme="1"/>
        <rFont val="Calibri"/>
        <family val="2"/>
        <scheme val="minor"/>
      </rPr>
      <t>On Policy Period</t>
    </r>
    <r>
      <rPr>
        <sz val="11"/>
        <color theme="1"/>
        <rFont val="Calibri"/>
        <family val="2"/>
        <scheme val="minor"/>
      </rPr>
      <t xml:space="preserve">
The policy period will be defaulted to 365/366 days from the policy inception date ( which will be system/current date ).
Further there may be an additional field that is configured in which the user can input the days for which the policy is needed ( when the policy is not for 365/366 days ).
Based on the days entered, STATIM will calculate the policy end date. </t>
    </r>
  </si>
  <si>
    <t>AMAN - In non-marine there is no integration in place for quotation issuance. All the details are currently being captured manually.
In STATIM there is an option to configure Quick Quote in which with minimum fields a quotation can be issued. Upon getting the complete information from the customer the user should convert a Quick Quote to Full Quote. Details captured in the quick quote will be populated in the full quote and facilitate the user to capture the complete information. Based on the confirmation received from the customer the user can convert the full quote to a policy.</t>
  </si>
  <si>
    <t>In non-marine, Property and Engineering are the major business. While configuring products in STATIM, ( which are about 26 products ), team STATIM will connect with official and discuss on the pros/cons of configuring multiple sections or within one section configuring multiple covers.</t>
  </si>
  <si>
    <t xml:space="preserve">In WC, there may be either named policy or unnamed policy. There will not be in a policy both i.e. named and unnamed.  </t>
  </si>
  <si>
    <t>KYC</t>
  </si>
  <si>
    <r>
      <t xml:space="preserve">KYC is carried out, just before converting a quote to a Policy i.e. when the insured confirms consent to take the policy. 
The credit limit and credit days are defined for a Broker - if the business is sourced through broker. If the source is Direct then the credit limit and credit days are applicable for the insured.
If it is defined for the insured, then the credit limit and credit days operate for the insured.
If it is defined for the broker, then the credit limit and credit days operate across all policies sourced through the broker.
For select Brokers ( right now 10 ), the credit limit and credit days will be predefined and the details approved.
However, for other Brokers, where credit limit and credit days are defined to meet business needs, the approval of the Broker, once the credit limits and credit days are defined the same has to be approved by Finance team.
The finance team maintains the credit behaviour of the broker and accordingly provide credit days and credit limits.
</t>
    </r>
    <r>
      <rPr>
        <b/>
        <sz val="11"/>
        <color theme="1"/>
        <rFont val="Calibri"/>
        <family val="2"/>
        <scheme val="minor"/>
      </rPr>
      <t xml:space="preserve">From STATIM perspective, whenever there is credit limit and credit days defined for an entity ( be it broker/ insured ), the approval will be to the role - YAS official having finance role. 
</t>
    </r>
    <r>
      <rPr>
        <sz val="11"/>
        <color theme="1"/>
        <rFont val="Calibri"/>
        <family val="2"/>
        <scheme val="minor"/>
      </rPr>
      <t>Also in STATIM the credit limit and credit days are available in the entity.</t>
    </r>
  </si>
  <si>
    <t>Certificate</t>
  </si>
  <si>
    <t xml:space="preserve">Once the customer confirms the quotation then uw user will approve the quotation. Provision should be available the Certificate (Cover confirmation) and share it with the customer.
</t>
  </si>
  <si>
    <t>While issueing a quote additional field to capture Certificate validity period which should be displayed in the Certificate.
Certificate number should be auto generated. Format shared by YAS.
Tracker required to verify whether generated certificates are converted to policy.</t>
  </si>
  <si>
    <t>Checklist</t>
  </si>
  <si>
    <t>Checklist functionality is required. Documents which are part of checklist should be populated in the certificate when the uer prints the certificate</t>
  </si>
  <si>
    <t xml:space="preserve">Property All Risk  -following sections needed
Material damage - this may have multiple risks. 
Business Interruption - is applicable for each risk, though it may be required either at risk or policy level. This configuration have to be decided on case to case basis. This decision will be taken by Yas, basis the input/suggestion given by Novac team.
Third Party - covers will be included in Material damage section.
It is decided that Business Interruption covers will be defined at policy level. No need of separate section </t>
  </si>
  <si>
    <t>Risk Survey</t>
  </si>
  <si>
    <t>Recommendation letter - items should be picked from the survey report and communicate to the customer. IF the client does not comply with the recommendation that will be considered during renewal.
It is Uw decision based on the survey recommendation
a) To negotiate and minimize the loss. OR
b)There may be cases where non compliance result to withdrawal of the cover.
c) Withdrawal - by cancelling the policy with or without refund.
During claims
The risk recommendations is considered and any adjustment of the settlement amount will be the decision of the claims manager.
During renewal
At the time of renewal the risk recommendation are considered and verified whether the same are complied with. 
Note: Usually standalone Godown is a "declined risk". However considering the overall portfolio of the insured, the standalone godown will be underwritten. This is purely an U/w decision and there is no application ( STATIM) perspective for this.
All the above process is manual, there is no automation expected from STATIM</t>
  </si>
  <si>
    <r>
      <t xml:space="preserve">Renewal is needed as a process with lead days ( 60 days ) for the process. Renewal notices to be sent before ( 45 days ). The xx days are configurable. There may be cases which fall under STP and certain cases where this will fall under non STP ( Fall out cases )
</t>
    </r>
    <r>
      <rPr>
        <b/>
        <sz val="11"/>
        <color theme="1"/>
        <rFont val="Calibri"/>
        <family val="2"/>
        <scheme val="minor"/>
      </rPr>
      <t>The instances of non-STP cases may be shared by YAS.</t>
    </r>
    <r>
      <rPr>
        <sz val="11"/>
        <color theme="1"/>
        <rFont val="Calibri"/>
        <family val="2"/>
        <scheme val="minor"/>
      </rPr>
      <t xml:space="preserve">
In some cases, there is also a need to Renew the policy without doing the renewal process. </t>
    </r>
  </si>
  <si>
    <t>Policy/Endt</t>
  </si>
  <si>
    <r>
      <t xml:space="preserve">Risk accumulation - known accumulation or unknown accumulation - report is needed. The accummulation for property or engineering insurance is known accumulation. 
If there is integration with Google map then provision to show the heat map for the location. This means that for the location the coordinates have to be populated from which the heat map can be shown. However the cost of such google integration has to be checked. The checking of the feasibility /cost will be made by YAS IT team / NOVAC team and then decision taken. </t>
    </r>
    <r>
      <rPr>
        <b/>
        <sz val="11"/>
        <color theme="1"/>
        <rFont val="Calibri"/>
        <family val="2"/>
        <scheme val="minor"/>
      </rPr>
      <t>(This will not be part of current phase of delivery. The phase of delivery will be decided later)</t>
    </r>
    <r>
      <rPr>
        <sz val="11"/>
        <color theme="1"/>
        <rFont val="Calibri"/>
        <family val="2"/>
        <scheme val="minor"/>
      </rPr>
      <t xml:space="preserve">
Whether integration with Google services is there are not, there has to be an alert message to populate when the risk is captured based on the location information given. The need for the alert message is for the Uw to know about accummulation and may decide on additional support through FAC placement instead of taking to treaty.
The location field ( may be one field or combination of fields) have to be made mandatory. 
The suggested wording of the alert message 
" There are policy/policies already underwritten in the same location".
The suggested alert message can populate on navigating out of the last of location field.</t>
    </r>
  </si>
  <si>
    <r>
      <t>Risk survey - generate automatic 
Upload the risk survey report.
For recommendation mentioned in the report we need to communicte to custome to submit any relevant document. 
AI - based on the recommendation mentioned in the document the system should send the communication to customer</t>
    </r>
    <r>
      <rPr>
        <b/>
        <sz val="11"/>
        <color theme="1"/>
        <rFont val="Calibri"/>
        <family val="2"/>
        <scheme val="minor"/>
      </rPr>
      <t xml:space="preserve">
This will not be part of current phase of delivery. The phase of delivery will be decided later</t>
    </r>
  </si>
  <si>
    <t>The general practice for product use  is "file and use". In addition to regulator approving, Sharia board has to approve the wordings of the policy. There are now 5 products approved by Sharia for schedules. 
Then after the approval from Sharia board, approval is required from Central Bank for products launch.
Going forward in STATIM when a new product is to be launched, then the same will be configured in UAT and checked for correctness. If the product is as expected then the same will be moved to LIVE. However the live product will be in incomplete stage. Once the regulator approves the product, the product will be approved in Live environment.</t>
  </si>
  <si>
    <t>Collection</t>
  </si>
  <si>
    <r>
      <t>The premium will be remitted by the insured, either as 
a)  through payment link which will be sent to the insured , for the insured to remit the premium. 
Even in case of broker policy the payment link will be sent to the insured. Though it is the responsibility of the broker to follow up with insured and get the remittance of premium.
Ii)</t>
    </r>
    <r>
      <rPr>
        <b/>
        <sz val="11"/>
        <color theme="1"/>
        <rFont val="Calibri"/>
        <family val="2"/>
        <scheme val="minor"/>
      </rPr>
      <t xml:space="preserve"> There is a practice to get post dated cheque.</t>
    </r>
  </si>
  <si>
    <r>
      <t xml:space="preserve">There will be definition of minimum, maximum and mid value premium for each combination say example occupancy, class of construction, location etc. Each of these will have minimum , maximum and mid value premium .
</t>
    </r>
    <r>
      <rPr>
        <b/>
        <sz val="11"/>
        <color theme="1"/>
        <rFont val="Calibri"/>
        <family val="2"/>
        <scheme val="minor"/>
      </rPr>
      <t>Property - minimum premium and minimum rate to be defaulted and allow the user to modify the rate or premium</t>
    </r>
  </si>
  <si>
    <t>Policy/Endt - Collection back update</t>
  </si>
  <si>
    <t>For policies issued on credit - User should be able to see whether the amount received from the broker/insured or not.</t>
  </si>
  <si>
    <t xml:space="preserve">When the policy is issued on credit
1) In case the source is broker  - then the limit or balance of limit of the broker has to be shown as a pop up , before the quote is converted to policy. 
2) In case the source is direct - then the limit or balance of limit of the insured has to be shown as a pop up, before the quote is converted to policy.
In STATIM instead of popup a screen display with a link which will display amount balance
</t>
  </si>
  <si>
    <t>All</t>
  </si>
  <si>
    <t>Sub status</t>
  </si>
  <si>
    <t>If the claim is settled, then the status will be updated as Settled/Closed, but Sub status will be updated as "Payment Pending".
Once the finance team make the payment then it will update the sub status depends upon the payment.
Partially Paid
Fully Paid</t>
  </si>
  <si>
    <t>Marine</t>
  </si>
  <si>
    <t>Irrespective of the login office the system should allow the user to register a claim for the any/given office for which the the user has access - instead of the user requiring to change the login and .capture the claim of any/given claim.</t>
  </si>
  <si>
    <t>Recovery - if it is straight forward case the we can recover from the insured, 
The usual process is to create a recovery estimate and settle the recovery.
In some cases it will be referred to legal department. The legal steps/proceedings/follow up is outside STATIM.</t>
  </si>
  <si>
    <t>Settlement</t>
  </si>
  <si>
    <t>Single claim screen required for all the LOBs and business types. Most of the marine claims are under local settlement.</t>
  </si>
  <si>
    <t>Checklist as a functionality is needed to track the documents that are needed and received.</t>
  </si>
  <si>
    <t>DMS</t>
  </si>
  <si>
    <t>Discharge voucher is sent to client before claim settlement.
Once the discharge voucher is received from insured through email the same will be attached to claims.
DMS, then the claims team will proceed with settlement process</t>
  </si>
  <si>
    <t>Estimate only in AED. Settlement can be done in any currency.Claim can be settled in any currency. Credit note and Debit note should have both the values to be displayed.</t>
  </si>
  <si>
    <t>If "On account" clause is available in the policy then part payment will be made based on the % mentioned in the policy. The "On account" settlement will be made as a condition in the policy. 
There may also be partial settlements carried out - which may not have been expressely stated in the policy.</t>
  </si>
  <si>
    <t xml:space="preserve">If the claim amount &gt;1 Million a notificiation should be sent to Reinsurance department.
The notification in STATIM can be achieved throgh configuring workstep.
Further Cash Call for major claim will be raised with the reinsurer.For which email has to be trigered when the outstanding amount is greater than PLA amount defined in the treaty . </t>
  </si>
  <si>
    <t>If the FAC Share % higher side i.e. 95% or more, then Reinsurance department should approve the claim settlement. 
Such approval will be configured through User Authorisation and work step configuration.
Once the document is received from reinsurer a mail will be send to claim department with a message and claims department will proceed with settlement</t>
  </si>
  <si>
    <t>In certain cases, to accommodate claim, especially because of the customer profile/ business decision, the uw team may include cover(s) if the cover is not available in the policy post the claim notification. Then an endorsement should be passed to the policy to include the cover from inception.</t>
  </si>
  <si>
    <t>Once the claim is registered acknowledgement letter will be sent to Broker(for broker policy) or Customer ( in case of Direct policy) through email communication about the claim.
Format of the email communication since shared by YAS team</t>
  </si>
  <si>
    <r>
      <t xml:space="preserve">Once the claim is settled then credit note will be generated. 
For FAC participant Debit note will be generated and communicated to RI department.
</t>
    </r>
    <r>
      <rPr>
        <b/>
        <sz val="11"/>
        <color theme="1"/>
        <rFont val="Calibri"/>
        <family val="2"/>
        <scheme val="minor"/>
      </rPr>
      <t>Finance department will be intimated via workflow and they can proceed with payment. ( Payment will be done by Finance team only)</t>
    </r>
  </si>
  <si>
    <t>Review and approval - review documents, access liability, seek management approval - based on the loss adjuster report. If any changes in the report required then communicate with loss adjuster and get it done.
The review, and getting revised report to bring the changes will be outside STATIM.
There is financial authority matrix for claim settlement.
Sample illustration: Upto 25000 Assistant claims manager and Senior Claims manager approves and beyond 25000 CEO approval is required.
Details of Fin Authority matrix shared by YAS
Maker Checker required</t>
  </si>
  <si>
    <t>The loss date, falling within the policy period, applicability of the cover - is checked and claim is registered. If the loss date is not within the policy period or cover is not available in the product, the claim is NOT registered. 
Example : In Abudabhi for WC there may be medical extension cover. However in northern emirates ( Sharjah, Ajman, Umm Al Quwain, Ras Al Khaimah and Fujairah) the WC policy is issued without medical extension cover.</t>
  </si>
  <si>
    <r>
      <t xml:space="preserve">There are default initial estimate values that will be shared by YAS. Such default initial estimate values have been brought out of experience/trend.
In STATIM, the initial default estimate can be configured, for the combination of product, cause , nature of loss and predefined risk fields.
</t>
    </r>
    <r>
      <rPr>
        <b/>
        <sz val="11"/>
        <color theme="1"/>
        <rFont val="Calibri"/>
        <family val="2"/>
        <scheme val="minor"/>
      </rPr>
      <t>YAS to share</t>
    </r>
    <r>
      <rPr>
        <sz val="11"/>
        <color theme="1"/>
        <rFont val="Calibri"/>
        <family val="2"/>
        <scheme val="minor"/>
      </rPr>
      <t xml:space="preserve"> the combination and initial default estimate.
If the initial estimate amount &gt;1 million then Fin Authority required to approve the estimate.
Fin authority shared by YAS. </t>
    </r>
  </si>
  <si>
    <t>Exgratia</t>
  </si>
  <si>
    <r>
      <t xml:space="preserve">There is practice of making Ex-gratia settlement. Due to extraneous circumstances if the policy expired and loss occurred after the expiry (within the next renewal date) ex-gratia payments will be made. For Ex-gratia Sharia  approval is required which will be outside STATIM. 
However in STATIM if exgratia settlment is chosen, then if the the loss date is out of policy period then the claim will be regsitered and settled. 
</t>
    </r>
    <r>
      <rPr>
        <b/>
        <sz val="11"/>
        <color theme="1"/>
        <rFont val="Calibri"/>
        <family val="2"/>
        <scheme val="minor"/>
      </rPr>
      <t xml:space="preserve">Registering Exgratia claim is based on User Authority 
</t>
    </r>
    <r>
      <rPr>
        <sz val="11"/>
        <color theme="1"/>
        <rFont val="Calibri"/>
        <family val="2"/>
        <scheme val="minor"/>
      </rPr>
      <t>Separate estimate code will be created as Exgratia Payment. In the accounting setup for the Exgratia estimate different Main A/c code will be mapped, so that the accounting for exgratia payments are not accounted to normal claims account.</t>
    </r>
    <r>
      <rPr>
        <b/>
        <sz val="11"/>
        <color theme="1"/>
        <rFont val="Calibri"/>
        <family val="2"/>
        <scheme val="minor"/>
      </rPr>
      <t xml:space="preserve">
</t>
    </r>
    <r>
      <rPr>
        <sz val="11"/>
        <color theme="1"/>
        <rFont val="Calibri"/>
        <family val="2"/>
        <scheme val="minor"/>
      </rPr>
      <t xml:space="preserve">Depending on the treaty program, the exgratia claim may be coming under RI recovery. If not supported by treaty program the exgratia RI allocation has to be manually update by the reinsurance official and taken to Retention.
</t>
    </r>
    <r>
      <rPr>
        <b/>
        <sz val="11"/>
        <color theme="1"/>
        <rFont val="Calibri"/>
        <family val="2"/>
        <scheme val="minor"/>
      </rPr>
      <t xml:space="preserve">This will not be part of current phase of delivery. </t>
    </r>
  </si>
  <si>
    <t>When the share of business is only 5% for YAS and 95% is placed through FAC Out, then the Surveyor appointment will be confirmed by FAC.
Once the mail is received from FAC reinsurer then YAS will appoint the serveyor. Appointment of surveyor will be done manually
YAS has confirmed that email to be sent immediately after registeration of claim</t>
  </si>
  <si>
    <t>Whenever a claim impacting FAC , even during initial estimation stage, notify reinsurance department for FAC claims by means  of mail.
The suggested format of email
" The Policy Number xxxxxx, Period of Inurance:xxx to xxx  Insured xxxx a claim is registered with number xxxx.
This policy has FAC support . 
Also for the claims official, a popup message showing FAC is available for the policy to be shown when surveyor is appointed (confirmed by YAS team )
The format of the pop message :
" The risk has FAC support"</t>
  </si>
  <si>
    <t>Proportional Treaty Definition</t>
  </si>
  <si>
    <t xml:space="preserve">Proportional treaties :
The treaty period is July to June
1. Currency is AED
2. On Uw basis
3. SI and PML limits are same.
4. Risk Category basis limits are applicable
There is 
4. Profit commission - which is currently done outside Aman.
5. Sliding Scale commission
6. Fixed commission
The accounting frequency of the treaty is monthly.
There is also leader fee. </t>
  </si>
  <si>
    <r>
      <t xml:space="preserve">The allocation may be either
1. Policy basis, 
2. Risk basis,
3. Top SI basis or
4. Top PML basis.
( There is no allocation based on worst risk basis )
The allocation basis will be chosen in the transaction:
</t>
    </r>
    <r>
      <rPr>
        <b/>
        <sz val="11"/>
        <color theme="1"/>
        <rFont val="Calibri"/>
        <family val="2"/>
        <scheme val="minor"/>
      </rPr>
      <t>Do we need to default the allocation basis at LOB level ?
If so then LOBwise allocation basis to be given by YAS</t>
    </r>
  </si>
  <si>
    <t>Further the allocation may either be SI or PML basis which again will be chosen in the policy journey. In cases where PML is there especially in Fire and Engineering , PML basis allocation is applicable. In STATIM, the allocation will be by default to Sum Insured basis with the option to modify the same as PML.</t>
  </si>
  <si>
    <t xml:space="preserve">Currently all business types ( Direct with coinsurance, Direct without coinsurance, Incoming coinsurance, FAC inward, have the same treaty limits and do not have different limits. </t>
  </si>
  <si>
    <t>There is PLA, CLA ( Cash Call Advice ) limits for each treaty type.</t>
  </si>
  <si>
    <t>Non Proportional Treaty Definition</t>
  </si>
  <si>
    <r>
      <t xml:space="preserve">The treaty period is July to June
All values in AED.
There is Xol and CAT Xol. The treaty layer is for BOTH Xol and CAT Xol.
There is a whole account treaty for all Lines of Business ( except Motor and Liability ). Motor and Liability have different XOL treaty.
The layer limits are defined product wise. ( Product wise is defined as sub class wise in Aman application )
</t>
    </r>
    <r>
      <rPr>
        <b/>
        <sz val="11"/>
        <color theme="1"/>
        <rFont val="Calibri"/>
        <family val="2"/>
        <scheme val="minor"/>
      </rPr>
      <t>PLA, CLA applicable for each layer</t>
    </r>
  </si>
  <si>
    <r>
      <t xml:space="preserve">There is MNDP. This is user entered value. The share of MNDP for each LOB in a layer will be defined as a percentage. This percentage is arrived based on GNPI. The percentage will be entered by user manually.
</t>
    </r>
    <r>
      <rPr>
        <b/>
        <sz val="11"/>
        <color theme="1"/>
        <rFont val="Calibri"/>
        <family val="2"/>
        <scheme val="minor"/>
      </rPr>
      <t>MNDP will be paid in instalments</t>
    </r>
    <r>
      <rPr>
        <sz val="11"/>
        <color theme="1"/>
        <rFont val="Calibri"/>
        <family val="2"/>
        <scheme val="minor"/>
      </rPr>
      <t xml:space="preserve">
</t>
    </r>
    <r>
      <rPr>
        <b/>
        <sz val="11"/>
        <color theme="1"/>
        <rFont val="Calibri"/>
        <family val="2"/>
        <scheme val="minor"/>
      </rPr>
      <t xml:space="preserve">
Layer 1 - 957,950
Layer 2 - 2,326,450
Layer 3 - 948,175</t>
    </r>
  </si>
  <si>
    <t>Reinstatement</t>
  </si>
  <si>
    <t xml:space="preserve">Reinstatement of limit and premium to be done/calculated for each claim on its settlement. </t>
  </si>
  <si>
    <t>Reports</t>
  </si>
  <si>
    <t>1. Premium register to display the reinsurance allocation.
2. Intermediary and participant - Accounting to will be Participant only RCM is applicable for the participant outside UAE 
3. SOA need to display the intermediary. Each participant may come via multiple intermediary. If we generate the SOA for the participant then in that SOA it should display the intermediary name ( in Finance, flexifield is required to populate the intermediary name from RI )</t>
  </si>
  <si>
    <t>Coinsurance</t>
  </si>
  <si>
    <t>No coinsurance in Motor. If needed will be configured</t>
  </si>
  <si>
    <t>FAC Placement</t>
  </si>
  <si>
    <t>Direct FAC placment is required without doing FAC offer</t>
  </si>
  <si>
    <t>Risk premium for FAC, Gross premium for Treaty (ie including UW Loading at policy level).
This is noted from perspective of Deemed Commission</t>
  </si>
  <si>
    <t>Finance</t>
  </si>
  <si>
    <t>COA - UNO &amp; STATIM</t>
  </si>
  <si>
    <r>
      <t xml:space="preserve">At present all the account codes are maintained in Main a/c only. There is no Sub a/c concept . The start digit of ALIE is
1 - A-Asset, 2 -L- Liability, 3 -I- Income 4 -E- Expense
Eample : ( this is just illustrative )
1101 - Cash at bank
1102 - Cash at hand
1200- Deposits
1300- Receivables and so on.
Once </t>
    </r>
    <r>
      <rPr>
        <b/>
        <sz val="11"/>
        <color theme="1"/>
        <rFont val="Calibri"/>
        <family val="2"/>
        <scheme val="minor"/>
      </rPr>
      <t xml:space="preserve">COA is shared by YAS </t>
    </r>
    <r>
      <rPr>
        <sz val="11"/>
        <color theme="1"/>
        <rFont val="Calibri"/>
        <family val="2"/>
        <scheme val="minor"/>
      </rPr>
      <t xml:space="preserve">then same will be tailored with sub account and revised COA will be shared by Novac team for its confirmation. </t>
    </r>
  </si>
  <si>
    <t xml:space="preserve">1. GWP - Main a/c code  and LOB - Sub a/c code 
1. Claim Payable - Main a/c code and LOB Sub a/c code 
Commission Payable - Main a/c code and LOB Sub a/c code - 
Note:
Within the sub account , product indicator can be brought which means from the sub account number, the LOB and product can be understood. 
OR
Product can be mapped as an activity code. </t>
  </si>
  <si>
    <t>Cash customer - UNO &amp; STATIM</t>
  </si>
  <si>
    <t>For direct customer only Cash client is accounted. The main account will be Cash Client. The default sub account will be Cash Customer - so there will be no sub-account created for every cash client. 
The customer details needs to be captured in policy journey. This will be stored as it needs to be shared with Central Bank.
So for walkin cash customers the details will be stored at Risk details. 
Is there a need to capture these cash clients in entity?
It will be decided basis discussion with KYC vendor once the integration service is in place.</t>
  </si>
  <si>
    <t>Collection - STATIM</t>
  </si>
  <si>
    <t xml:space="preserve">As the insured is responsible for remmittance of premium, insured will be the premium payor in the policy, even in cases where the business is sourced through broker. Hence the sub-account will be for the insured.
So in collection screen , there will be filters for company, line of business, product, transaction type and sub-account. Further option required to filter based on source also - as the follow up for collection is done with broker, though the insured is the premium debtor here. </t>
  </si>
  <si>
    <t xml:space="preserve">For individuals payment done through online. 
Still cheque option is required. </t>
  </si>
  <si>
    <t>Installment - STATIM</t>
  </si>
  <si>
    <t xml:space="preserve">On instalment policy for 4 instalments the accounting will get generated on the due date only. However the requiremnt is 
1. Premium recognition should happen upfront. 
2. Receivable will happen on the instalment due date.(Premium). There will be no installment for fees/charges VAT. Fees/charges VAT will be collected in 1st instalment.
3. Payable will happen on the instalment due date. (Commission)
4. Configuration should be required to do recognition of premium in instalment or premium recognition upfront.
Ageing will be for the instalment entry. </t>
  </si>
  <si>
    <t>Similar to premium, facility is needed for defining installments for 
1. Broker commission , 
2. FAC offer and placements</t>
  </si>
  <si>
    <t>Instalment</t>
  </si>
  <si>
    <t>Endorsement premium - STATIM</t>
  </si>
  <si>
    <t>Endorsement premium should not have instalments. 
Should be collected immediately (no PPW days for endorements)</t>
  </si>
  <si>
    <t>Premium collection - STATIM</t>
  </si>
  <si>
    <t>Once the payment is received from the insured through payment gateway the system should generate Receipt voucher.</t>
  </si>
  <si>
    <t>Matching - UNO &amp; STATIM</t>
  </si>
  <si>
    <t>In the Collection screen, application will auto match the DN amount due and the RT Collection. This matching will be on FIFO basis. There will be an option to custom match, which will facilitate user to change FIFO matched values and match with user entered values. As collection happens 24/7 because of integration with payment gateway, the application will auto match on FIFO basis. 
For the user to susbequently unmatch/match, a seperate un-matching and matching is  required seperately as well.</t>
  </si>
  <si>
    <t>Adjustment</t>
  </si>
  <si>
    <r>
      <t>Cross sub account matching should not be automatically done by the application. ( Say., a sub account is mapped both to receivables and payables - matching should not be inter - account matching. However the matching can be within i.e. intra accout matching ).</t>
    </r>
    <r>
      <rPr>
        <b/>
        <sz val="11"/>
        <color theme="1"/>
        <rFont val="Calibri"/>
        <family val="2"/>
        <scheme val="minor"/>
      </rPr>
      <t xml:space="preserve"> Cross account matching will not be available</t>
    </r>
    <r>
      <rPr>
        <sz val="11"/>
        <color theme="1"/>
        <rFont val="Calibri"/>
        <family val="2"/>
        <scheme val="minor"/>
      </rPr>
      <t xml:space="preserve">. </t>
    </r>
    <r>
      <rPr>
        <b/>
        <sz val="11"/>
        <color theme="1"/>
        <rFont val="Calibri"/>
        <family val="2"/>
        <scheme val="minor"/>
      </rPr>
      <t xml:space="preserve">If there is a need for cross account matching the same can be achieved by passing journals so that the matching can be carried out within the main account. </t>
    </r>
  </si>
  <si>
    <t>TELR - split commission - STATIM</t>
  </si>
  <si>
    <t>Client is paying the premium through payment gateway.
Finance team will define the commission % in the TELR portal. For eg Comprehensive 10% &amp; TP - 5%.
Need to discuss for integration on defining the rates in the portal - as to why there is a need for the finance team to define the percentages ? As the commission may be transaction dependent and the broker can also offer cut their commission and give discounts. To be discussed with YAS</t>
  </si>
  <si>
    <t>Banking Portal - STATIM &amp; UNO</t>
  </si>
  <si>
    <t>Required to integrate with Banking portal. This will help printing the cheque. Bankers  have both API and SMTP options are there.  Currently there is no integration and the information is captured in the Banking portal.
To be discussed with YAS . This will be furture enhancement</t>
  </si>
  <si>
    <t>Report - SOA - UNO</t>
  </si>
  <si>
    <t xml:space="preserve">In the SOA report will be used to generate the balances for a sub account. However additional filter criteria to hide/show broker details - as the insured is the sub account but the broker will be the source and the follow up will be done through broker. 
</t>
  </si>
  <si>
    <t>Ledger - Report - UNO</t>
  </si>
  <si>
    <t xml:space="preserve">The sub ledger will be based on the sub account which will be insured. However, the source will be also be made available against each policy . There will be additional filter criteria to filter the sub ledger for one or more than one  broker.
Also a sub account may be having values against different main accounts. Say sub account code 1234, may be having against Premium Receivables account code 1000 and same sub account 1234 may be having against Premium Payable account code 2000.
Now option to select main accounts, sub accounts, and broker to be available, so that the output value is listed for the subaccount and broker the main account balance.
Effectively in report - if a sub a/c is having both receivable and payable accounts are chosen then in the report it should display together.
</t>
  </si>
  <si>
    <t>Claims payment - STATIM</t>
  </si>
  <si>
    <t>Payment screen - based on the filter data will be populated for the claims. Provision to select required transaction and proceed with the payment.
The payment may be through cheque or online. Though the preferred payment option is online, there is a payment option to bank portal - this should be further discussed and understood. Refer Banking portal point.</t>
  </si>
  <si>
    <t>Payment</t>
  </si>
  <si>
    <t>Bulk matching - STATIM</t>
  </si>
  <si>
    <t xml:space="preserve">Bulk matching 
Credit notes created for the customer in 2025. 
in 2026 Payment Voucher created for the customer without chossing the various credits that were created in 2025.
Post payment, the user will do matching. For this instead of doing a selection and matching, there is a need for download and upload. 
Using the download option the details of multiple credits and debits outstanding against the sub account will be available in the downloaded excel.
User can retain the entries for which payment has been made and delete the other entries which are not considered for the payment. Additional in the excel, the Debit entry which was used to make the payment will have to br retained. The user will have to change the Dr/Cr flags in the excel.
Then upload will list the entries of debits. There will beand with the credit ( the debit line that was used to payout earlier) .
Now the file will be uploaded and the application to match the entries. 
The date of matching will be the date on which the upload file is made. 
</t>
  </si>
  <si>
    <t>To be Discussed</t>
  </si>
  <si>
    <t>Account grouping and sub grouping is available</t>
  </si>
  <si>
    <t>Payment - UNO</t>
  </si>
  <si>
    <t>Medical business is through broker and payment will be done by insured</t>
  </si>
  <si>
    <t>Credit control - STATIM</t>
  </si>
  <si>
    <t>Single limit for all LOB. Each entity having credit limits should be approved by Finance team</t>
  </si>
  <si>
    <t xml:space="preserve">Need both days &amp; limit. For eg 90 days with a limit of 200,000.Pop ups required in the transaction once the limit reaches (days or value) before 30 days.
The exhaustion of limit or days to be communicated to the insured. Limit of 500,000 with 120 days. System should check net amount not only the debit balances. 
Configuration definition should faciitate limit/days/reminder definition  at entity level. </t>
  </si>
  <si>
    <t>Write off - UNO</t>
  </si>
  <si>
    <t xml:space="preserve">No auto write off required. This will be done manaully by passing journals. 
Any automatic write off will be taken at a later point and the boundaries of criteria will be discussed. This is not needed for now. </t>
  </si>
  <si>
    <t>Cloning - UNO</t>
  </si>
  <si>
    <t>Cloning of voucher required. All the details should be populated. User can change the details and proceed with approval and post.</t>
  </si>
  <si>
    <t>Fixed Asset - UNO</t>
  </si>
  <si>
    <t>Is Fixed Asset module is available ? The availability of FA module will be checked and informed. NOT available</t>
  </si>
  <si>
    <t>Apportionment of Exp - UNO</t>
  </si>
  <si>
    <t>Monthly accruals on monthly basis. Exps will be taken on monthly basis, then once received the invoice will be knocking of with credit note. Amortization?</t>
  </si>
  <si>
    <t>Not Available</t>
  </si>
  <si>
    <t>e-Invoice - STATIM &amp; UNO</t>
  </si>
  <si>
    <t>e-Invoice - application should send the invoice to accelerated sservice provider, validated instantly and sent to FTA validated instantly then FTA will issue the e-Invoice to B2B customer(broker)</t>
  </si>
  <si>
    <t>Un-post - UNO</t>
  </si>
  <si>
    <t>Un-post option required for before uploading IA Data. This will have impact in Finance and operation. This is required for Policy, Claims and Finance, DMS.</t>
  </si>
  <si>
    <t>Health</t>
  </si>
  <si>
    <t>TPA integration</t>
  </si>
  <si>
    <t>There are individual ( to have valid Abudabhi visa) - retail, group -corporate and SME products. Health insurance is compulsory. In Abu Dabhi the member information is available with Safafiya. The integration has to be made with it to get and share Member details.</t>
  </si>
  <si>
    <t>TPA will have member data. All the claim admin and policy issuance will be handled by TPA. 
There are NAS, Mednet, AAfia, Nextcare. 
NAS has integrated with Shafafiya but the other TPAs operate through Greenrain</t>
  </si>
  <si>
    <t>Shafafiya - the centralized db of Abu Dhabi members (policy to claims) .Every single record to be uploaded to Shafafiya
NAS is enroling the member on YAS befahlf and uploading to Shafafia.</t>
  </si>
  <si>
    <t>Information</t>
  </si>
  <si>
    <t>If a member is joining the new company and that new company want to include this member into their group policy. In the scenario they can check the details from Shafafiya portal and get the information about the member. 
For individual policy also the detail are available in Shafafiya - which can be verified through the Shafafiya portal.</t>
  </si>
  <si>
    <t>Ministry Of Interior</t>
  </si>
  <si>
    <t>There is a grace period of 14 days for individual insured and 30 days for group policies for subsequent renewal to take another policy. If any break in insurance is there then the insured is required to remit the fine. The fine will be remitted through the Shafafiya portal. Once fine is remitted the same will be updated in Shafafiya which will facilitate the insurer to issue a policy. ( without remittance of penalty the insurer will not renew the policy )</t>
  </si>
  <si>
    <t xml:space="preserve"> When a natural person who is coming to UAE on a visit visa and got a work visa then the company taking the person on its rolls should take the insurance within 14 days from the date of entry into AbuDabhi
If it is taken on 15th 100 dhs, 21st-200 dhs,29th-300 dhs fines will be charges 
For corporate policies, grace period within 29th day will be given. If the person taking the insurance on 30th day then 300 Dhs will be charged</t>
  </si>
  <si>
    <t>Group polices - normally the renewal process will be started in the 9th month, so the scenario of cover gap for group policies will not be there.
Renewal terms will be shared from 60 days to 45 days prior to expiry
Back dated inclusion is not allowed. In some cases we can back date by 7 days.
Every member data should be uploaded within 72 hours to Shafafiya</t>
  </si>
  <si>
    <t>COC - Continuity of Cover will be issued if the employee exiting a company and joining another company. COC to be checked, historical data will be checked, fine will be checked. For group also a Group COC will be provided by YAS to other insurance company. If any one is having gap of insurance, then fine will be charged from the insured.</t>
  </si>
  <si>
    <t>Whatever data uploaded in the portal will be used by other insurance company If a person data is not available, then both the companies will discuss through a common mail id and they can request the COC.</t>
  </si>
  <si>
    <t>Option is pay COC penalty. Once the fine is paid through the portal the insurance company will get a communication. for individual member once the penalty is paid then the cover commences on the next date. If any claim before commences (grace period) or during renewal with another insurance company, customer can ask for cover confirmation.</t>
  </si>
  <si>
    <t>Group pricing - will be shared by Yas</t>
  </si>
  <si>
    <t>In reinsurance QS,XOL agreements are prevelant and FAC is very less. There is categorization of treaty risk in treaty program. The treaty program to be shared by YAS for Noavc to understand and configure.</t>
  </si>
  <si>
    <t>Preferred Insurer - This is a concept, which decides the participation of insurers in the policy. The insurers decide to underwrite a specific percentgae for YAS which may be 60% and with another insurer which may be 40%. To understand the business flow - as to whether these are coinsurance transaction has to be discussed during the business flow discussion on Health.</t>
  </si>
  <si>
    <t xml:space="preserve">Tamm portal will be used to pay the fines. Abu Dhabi mandated regulation. Once the fines are paid in the Tamm portal the it will get updated in the Shafafiya portal automatically. </t>
  </si>
  <si>
    <t>Previous insurer upload it and issue a COC. COC is mandtory to go to another insurer In Abu Dhabi for Individuals and in some cases of group. Shafiya reference number is the key in providing or getting the information.
Shafafiya will share - historical, coverage.
For dependents applying of fine will be similar to individual</t>
  </si>
  <si>
    <t>Applicable for dubai based visa holder. there is no direct integration. TPA are supporting.Fine is not applicable in DHA</t>
  </si>
  <si>
    <t>TPA is having integrations with  DHA, DHPO portal. eClaim link provided by DHA which will be used to notify the claim only. Fine is not applicable in DHA. Member registrations will be done by TPA in DHA</t>
  </si>
  <si>
    <t>All the claims of Dubai visa and dubai policy holders the responsibulity lies with Insurer only</t>
  </si>
  <si>
    <t>Insurers responsibility to provide the data to Shafafiya, DHA</t>
  </si>
  <si>
    <t>All the payments should be done by the insurer only. All the providers should be managed by Insurers (hospitals, pharmacies). Ie Contracts with the providers.</t>
  </si>
  <si>
    <r>
      <t xml:space="preserve">Slashdata - portal to upload the member details for VISA holders. This is not applicable for Dubai. This is a middleware data will talk to ICP. </t>
    </r>
    <r>
      <rPr>
        <b/>
        <sz val="11"/>
        <color theme="1"/>
        <rFont val="Calibri"/>
        <family val="2"/>
        <scheme val="minor"/>
      </rPr>
      <t xml:space="preserve">Members should be ? 
</t>
    </r>
    <r>
      <rPr>
        <sz val="11"/>
        <color theme="1"/>
        <rFont val="Calibri"/>
        <family val="2"/>
        <scheme val="minor"/>
      </rPr>
      <t>24 dhs per person for this enrolment. ICP charge is regulated by authority. This is for immigration purpose</t>
    </r>
  </si>
  <si>
    <t>Fee</t>
  </si>
  <si>
    <t>Based on the region the fee to be calculated (basma or icp), Basma fee which is 37 AED per member in Dubai and ICP fee is 24 AED in case of other than Dubai. The member locale decides whether it is Basma or ICP. So in a policy of two risks  if the member is domiciled in Dubai then Basma 3fee can be charged and in other cases it will be ICP.</t>
  </si>
  <si>
    <t>Basma fee is applicable for the EBP category who is undergoing the specified treatments. Ie claims is applicabe for those members</t>
  </si>
  <si>
    <t>KYC/AML</t>
  </si>
  <si>
    <t>While creating a broker KYC check will be done along with AML check. If AML check sends black list or not, in this scenario broker will get created with invalid status. AML check will be done and status will be received if the data matches with AML as "invalid"
 A communication will be sent to KYC team for further process.</t>
  </si>
  <si>
    <t>At present in AMAN they have 2 status
Valid
Invalid
AML clasification should be available to select
Provision to upload VAT certificate. Based on the date validity a communication should be triggered Customer No - will be used for archieved data</t>
  </si>
  <si>
    <t>Products</t>
  </si>
  <si>
    <t>Single shipment
Hull
Pleasure craft
Open Cover &amp; Certificate
Inland transit
Open Policy &amp; Declaration - at present in Open cover itself</t>
  </si>
  <si>
    <t>Open Cover</t>
  </si>
  <si>
    <t>Commodity type, packing type, cover group mandatory.
Rates will be defined in Open Cover
Coverages will be defined
Separate rate for WAR cover will be defined</t>
  </si>
  <si>
    <t>Limit per shipment at present per shipment is validated. 
Limit per commodity is required to be validated(future request)</t>
  </si>
  <si>
    <t>Open Policy</t>
  </si>
  <si>
    <t>Premium will be collected as Deposit premium.
Threshold limit as % required for refunding the premium.
During final adjustment there may be scenario where a refund based on the actual declaration has to be paid to the customer. In this case there should be provision to define the threshold % for refunding the premium.
For eg
If the Threshold % is defined as 20%, then during Final declaration if the calculated refund premium is less than 20%  of deposit premium received, then premium will not be refunded.</t>
  </si>
  <si>
    <t>Policy upload</t>
  </si>
  <si>
    <r>
      <t>Fleet of shipments. Individual certificates/declaration will be issued. 
YAS will receive Declarations/Certificates in an excel from the Broker. In this scenario provision should be available in the system to upload the file.
Policy Upload is required (</t>
    </r>
    <r>
      <rPr>
        <b/>
        <sz val="11"/>
        <color theme="1"/>
        <rFont val="Calibri"/>
        <family val="2"/>
        <scheme val="minor"/>
      </rPr>
      <t>this will not be part of current phase of delivery)</t>
    </r>
    <r>
      <rPr>
        <sz val="11"/>
        <color theme="1"/>
        <rFont val="Calibri"/>
        <family val="2"/>
        <scheme val="minor"/>
      </rPr>
      <t xml:space="preserve">
</t>
    </r>
  </si>
  <si>
    <t xml:space="preserve">Risk </t>
  </si>
  <si>
    <t>Sactioned countries should be restricted.
If the shipment goes via restricted zones then cover won't be given</t>
  </si>
  <si>
    <t>VAT</t>
  </si>
  <si>
    <t>As per the mail received from YAS on 24-Jun-26 (mail attached)
• No VAT is applicable on imports and exports. 
• VAT is applicable for GT/IT movements where both the origin and destination of transit are within the UAE. 
• For GT/IT movements within GCC countries, the underwriter will require a separate breakdown of turnover into UAE and non-UAE components. VAT will be applied if the higher proportion of turnover is attributable to UAE operations. 
• Otherwise, no VAT will be charged.</t>
  </si>
  <si>
    <t>Report/Screen</t>
  </si>
  <si>
    <t>Tracker required to show the certificates issued against a Open cover issued to a customer</t>
  </si>
  <si>
    <t>Currencies</t>
  </si>
  <si>
    <t>Multi currency is applicable. Exchange rate should be updated in the master by Finance. If integration is in place then it will get updated automatically on a daily basis. Else the finance team must update the exchanges rates manually. Once updated all the underwriters should get communication</t>
  </si>
  <si>
    <t>Marine Hull and Machinery
Pleasure Craft</t>
  </si>
  <si>
    <t>Coverages</t>
  </si>
  <si>
    <t>Hull,TPL, Increased value are coverages</t>
  </si>
  <si>
    <t>Risk Upload</t>
  </si>
  <si>
    <t>Fleet upload ins required for Hull</t>
  </si>
  <si>
    <t>Following endorsements are applicable for Marine
Extension endorsement, 
Refund
Cancellation from Inception
Change in Destination
Reistatement of cancellation
Change in Commission %
Turnover Adjustment</t>
  </si>
  <si>
    <t>Profit commission - endorsement for which premium will be entered manually. Need to discuss on how the premium will be adjusted. Ie Adjusted in renewal premium or a refund will be issued</t>
  </si>
  <si>
    <t>Extension of period endorsement - with the option to select Flat premium or No Premium</t>
  </si>
  <si>
    <t>In some cases for corporate customer the policies will be issued on credit. Normally it is like CBC</t>
  </si>
  <si>
    <t>Cut commission scenario - currently in AMAN they are reversing the existing policy and pass addition endorsement with correct value.
For the above we are suggesting cut commission endorsement with a discount. YAS agreed for this. Need to discuss on this internally</t>
  </si>
  <si>
    <t>If multiple endorsements passed to a policy then the changed commission % should be calculated for the endorsement (for a risk)
Policy issued with Commission % as 10.
Endt1 - Passed change in commission % and changed to 15
Endt2 - Passed Addition endorsement and increased the SI. Now for this endorsement the Commission should be calculated as 15.
Endt3 - Passed Change in Commission % and changed to 12.
Endt4 - Passed Addition endorsement and included a cover
Now for this endorsement the commission should be calculated as 12.</t>
  </si>
  <si>
    <t>Change in Insured name alone. This should get reflected in the invoices. No need of an endorsement where as in the Entity master the finance user will change the name and uw user will be in a position to generate the invoice with the new name reflected</t>
  </si>
  <si>
    <t>All the business type claims should be in single page</t>
  </si>
  <si>
    <t>Normal process similar to non marine</t>
  </si>
  <si>
    <t>Claims are assessed by Loss adjusters and YAS is settling the claim to Insured in UAE</t>
  </si>
  <si>
    <t>There is no quotation option. Once quote is done outside AMAN and then the booking happens in AMAN</t>
  </si>
  <si>
    <t xml:space="preserve">Group, SME and individual
Group - corporate people where there are 100 or more members.
SME - 5 and above 150 ( Sudar to clarify )
Individual - Upto 5 </t>
  </si>
  <si>
    <t>Source</t>
  </si>
  <si>
    <t>Sale can be direct or through broker</t>
  </si>
  <si>
    <t>Documents</t>
  </si>
  <si>
    <t>Group - 
1. Trade license
2. Corporate id
3. Emirates id ? KYC document
4. Declaration</t>
  </si>
  <si>
    <t>TPA</t>
  </si>
  <si>
    <t>Details are sent to TPA. There is a TPA a slip. Confirmation will state the coverage, pricing, and commission, policy terms and conditions. 
When there is a sub-group within the group.
KYC compliance will be done by compliance team</t>
  </si>
  <si>
    <t>Plan</t>
  </si>
  <si>
    <t>There is a standard plan as per regulator. Example is Optical is optional and is not regulated.</t>
  </si>
  <si>
    <t>Group</t>
  </si>
  <si>
    <t>Group is of the Corporate and sub group is for subsidiaries. If the remittance is by corporate, then the sub groups will be captured as risk, in the same policy.
If the sub groups remit premium, then the sub group wise policy will be issued.</t>
  </si>
  <si>
    <t xml:space="preserve">KYC is approved by Compliance and as a porcess Finance team approves. </t>
  </si>
  <si>
    <t>Installments are standard but approved by finance. Right now it is outside AMAN and the approved out of AMAN application will be captured in policy.</t>
  </si>
  <si>
    <t xml:space="preserve">Standard Plan , Substandard plan. 
Predefined standard plan will be a STP - in the sense that there is no need for Uwer intervention. However for sub-standard plan, the Uwer intervenes because the member category does not fall within the boundaries of the approved list by reinsurer. 
</t>
  </si>
  <si>
    <t>Business Flow</t>
  </si>
  <si>
    <t xml:space="preserve">The business flow diagram was run through, the document gives the current flow of manual and system process. </t>
  </si>
  <si>
    <t>Upload into DOH/DHA</t>
  </si>
  <si>
    <t xml:space="preserve">Uploading to DOH/DHA for generating Unique id number. </t>
  </si>
  <si>
    <t xml:space="preserve">For the a) Category , b) Sub Group c) Plan, the OP will be having deductible as 20% etc or co-pay etc. </t>
  </si>
  <si>
    <t>Co-Pay</t>
  </si>
  <si>
    <t xml:space="preserve">Direct Billing ( Cash less ) or Reimbursement.
Deductible- Fixed amount
Go to Pharmacy - then bills are settled, then it will be Coinsurance. 
When there is payment for OP visits then there will be co-pay.
Deductible will be a Fixed amount to be deducted from claim
Example 1 : Treatment : 1000. Co pay 20%. Insurer pays 800. In the same example 50 is deductible. then on 950 ( 1000-50) 20% will be applied and payment will be 760.
Example 2 : Medical Bill is 500. Coinsurance is 25. Treatment OP on different dates are 100,200, 300. Co pay is 20%
On the Bill 450 will be paid and for treatment will be paid as 80,160,240
</t>
  </si>
  <si>
    <t>Beneficiary ID</t>
  </si>
  <si>
    <t xml:space="preserve">Currently the Beneficairy ID is maintained by TPA. The id will be different when there is shift from one TPA to another. Each TPA has a unique beneficiary id for a member. The relationship between the member across is established through the beneficiary ids maintained at each TPA.
Going forward the Emirates id can be maintained to establish the history for the member </t>
  </si>
  <si>
    <t>Card Number</t>
  </si>
  <si>
    <t>Card number is now being maintained at TPA. On a later date the card number can be generated by YAS. This means that 
1. The number generation has to be handled in STATIM,
2. The API integrations will undergo change if YAS decides to by pass TPA.</t>
  </si>
  <si>
    <t>The list of current activities will be listed by Novac ( basing it on the flow diagram and discussions). Padhu plans to complete it over the weekend. Also the RI program will be shared by YAS for Novac team to understand the configuration to be done from product perspective and treaty perspective</t>
  </si>
  <si>
    <t>Payment Order</t>
  </si>
  <si>
    <t>PO - payment order received ffrom tpa will be changed and credit notes will be raised to make the payment. Pos are getting uploaded to generate the credit note which will be used for Finance to make the payment</t>
  </si>
  <si>
    <t>Effective 1st Jan 27, through e-invoice, and service provider cygnet, YAS to share the DN, CN details ( approx 50 fields ). 
There will be registration of YAS and other corporates or brokers who claim ITC, will register in PEOPPL. There will be a unique id given for each registered entity. This regiteration ( unique id ) will also be part of 50+ fields sent to FTA. ( Federal Tax Authority ).
DN/CN is sufficent and there is no need for a seperate invoice.</t>
  </si>
  <si>
    <t>Open Finance - STATIM</t>
  </si>
  <si>
    <t>The information of insured is shared to a common platform. The frequency and the trigger of sharing is not yet decided. This will be afuture requirement which has to be handled in STATIM</t>
  </si>
  <si>
    <t>Liability</t>
  </si>
  <si>
    <t>Endorsement-WC</t>
  </si>
  <si>
    <t>Addtion of employees endorsement  -at present all the records are getting added manually Premium is getting entered for the endoresment</t>
  </si>
  <si>
    <t>Change in Period should be the first endorsement (multiple times can be passed before any other endorsement)</t>
  </si>
  <si>
    <t>Combined endorsement - 2 endorsements passed as a single endorsement</t>
  </si>
  <si>
    <t>Change Agent Commission - Commission percentage will be changed</t>
  </si>
  <si>
    <t>Change Client, Insured, Beneficiary, Agent - this endorsement will be used to change the Insured or Beneficiary or the broker/agent.
If the Broker is changed in the mid of the policy period, then in this scenario the commission for the remaining period will be claw backed from the previous broker and given to the new broker.
Change in Client - cancel the old policy and issue a new policy for the new client</t>
  </si>
  <si>
    <t>Stock Declaration Adjustment - Final declaration may come after the renewal of the policy. System should allow the user to pass Adjustment endorsement after the renewal on the original policy.</t>
  </si>
  <si>
    <t>At present in the policy screen itself there is a check box to select Renewal then capturing the Original Policy No and proceed. It will create a renewal policy.</t>
  </si>
  <si>
    <t>KYC to be performed for each transaction</t>
  </si>
  <si>
    <t xml:space="preserve">Policy no should be same with a renewal count. 
For example
Policy No - 298/2023
Policy Period - 01-02-2023 to 31-01-2024
Renewal Policy - 298/2023/1
Renewal Period - 01-02-2024 to 31-01-2025
Renewal Policy - 298/2023/2
Renewal Period - 01-02-2025 to 31-01-2026
Renewal Policy - 298/2023/3
Renewal Period - 01-02-2026 to 31-01-2027
</t>
  </si>
  <si>
    <t>60 days for Fac policies
45 days for other cases
Renewal list will be provided to broker 45 days prior.
Renewal notices will be shared 30 days prior</t>
  </si>
  <si>
    <t>Following types
Refund
Additional.
List of endorsement will be shared by YAS</t>
  </si>
  <si>
    <t>Following endorsements are applicable
Change in ownership - fee is charged
TCF no for the new owner. So that it will get reflected in rta,evg
Registration place is also required for change in ownership</t>
  </si>
  <si>
    <t>Payment mode</t>
  </si>
  <si>
    <t>For Financial endorsements payment mode will be always in Account(online). Debit note upon approval of endorsement and receipt will be generated for the collected premium</t>
  </si>
  <si>
    <t>Endorsement date should not be back dated</t>
  </si>
  <si>
    <t>Endorsement effective date should not be back dated. 
In some cases based on the user authorization back dating of endorsement effective date is allowed</t>
  </si>
  <si>
    <t>Client - motor cash client(dubai branch) - For cash customer YAS is using this customer code</t>
  </si>
  <si>
    <t>Document upload is required along with OCR. So that for new owner the details will be populated(Mulkiya card)</t>
  </si>
  <si>
    <t>KYC will be performed</t>
  </si>
  <si>
    <t xml:space="preserve">Excess - based on the range of SI the deductible should be defaulted.
Data available in master.xls </t>
  </si>
  <si>
    <t>Depreciation will be populated from e-Data for new policy. But during endorsement a user can enter the depreciation % manually which will be considered for renewal value calculation</t>
  </si>
  <si>
    <t>Extension of period - endorsement should be allowed within 30/31 days from the policy from date.
Policy to date should be calculated from the endorsement date (13 months)
If the client comes after 1 month for extension, then in this scenario YAS will cancel the existing policy and issue a new policy. Pro rated premium will be calculated for the cancellation, new premium for the new policy, customer will pay the difference of premium</t>
  </si>
  <si>
    <t>Change in vehicles details - non tariff details should be allowed to change</t>
  </si>
  <si>
    <t>Change in Geo areas - fixed premium basis. Tariff will be defined based on the covers</t>
  </si>
  <si>
    <t>Orange card - if we pass the endorsement in STATIM then it should integrate with Al Aliya system through and the same will get reflected in Al Aliya system.
There is currently no integration with Al Aliya. It is being manually entered by the users in Al Aliya portal. 
This practice will be continued in STATIM also.</t>
  </si>
  <si>
    <t>No claim certificate - as an endorsement and generate the certificate without premium</t>
  </si>
  <si>
    <t>Refund</t>
  </si>
  <si>
    <t>Cancellation from inception</t>
  </si>
  <si>
    <t>Cancellation from endorsement effective date - Premium calculation 2 types
1. through schedule of authority as per law(short period)
2. pro-rata</t>
  </si>
  <si>
    <t>A field in the header for cancelation endorsement as "Cancel side" with the following values to select
Company side
Insured side.
In STATIM the Company Side will be shown as "Insurer" and Insured side will be shown as "Insured"</t>
  </si>
  <si>
    <t xml:space="preserve">Change policy type
Comprehensive to TPL
if 2 faulty claims are there then YAS will pass this endorsement to change.
Need to send the details to Central Bank also.
Yas confirmed that they will cancel the policy and issue new policy. </t>
  </si>
  <si>
    <t>Addition of Mortgage - Based on the letter received from the Bank YAS may increase or decrease the vehicle value. In some cases the bank may give the value the same should match our record.
The value received from Bank is final which has to be checked for consistency with Yas value, manually ONLY and endorsed for difference if any (There may be cases where both bank and YAS value are same in that case there will no premium impact.)
This comparison and endorsement will be done by the user manually</t>
  </si>
  <si>
    <t>Refund type required
With Refund
Without Refund
For the change in policy type endorsement if the refund type is selected as With Refund then system should calculated apro-rated premium for the OD cover.
Deletion &amp; Cancellation endorsement</t>
  </si>
  <si>
    <t>Renewal notices will be sent to customer 45 days print
2nd notice 30 days prior
3rd notice 15 days prior
through email</t>
  </si>
  <si>
    <t xml:space="preserve">Rules will be shared by YAS </t>
  </si>
  <si>
    <t>Fleet - if the business through broker then the renewal notices will be sent to Broker and HOD Motor else it will be customer and HOD Motor
If loss ratio is higher then broker&amp; client will not be communicated with renewal notices. HOD motor will get the details and based on that he will decide</t>
  </si>
  <si>
    <t>Report - Renewal</t>
  </si>
  <si>
    <t>A list of policies due for renewal should be generated and shared with UW department</t>
  </si>
  <si>
    <t>Policy No format</t>
  </si>
  <si>
    <t xml:space="preserve">For motor following format is needed for EVG/RTA
1126000001
1 - Office code
1 - Policy Type
26 - 2 digits UW year
000001 - 6 digits running sequence No
For internal purpose
</t>
  </si>
  <si>
    <t>Period will be 12 months</t>
  </si>
  <si>
    <t>Dunning</t>
  </si>
  <si>
    <t>Print documents list will be shared by YAS</t>
  </si>
  <si>
    <t>Quotation,Policy schedule</t>
  </si>
  <si>
    <t>Motor schedules layout will be designed by YAS team internally and share it with Novac</t>
  </si>
  <si>
    <t>Policy Schedule</t>
  </si>
  <si>
    <t>3 Special conditions needs to be displayed in the schedule as per law</t>
  </si>
  <si>
    <t>Policy wording</t>
  </si>
  <si>
    <t xml:space="preserve">Complete policy wording will be shared by YAS </t>
  </si>
  <si>
    <t>No claim letter</t>
  </si>
  <si>
    <t>Format will be shared by Yas</t>
  </si>
  <si>
    <t>Mortgage letter</t>
  </si>
  <si>
    <t>Format will be shared by Yas. If mortgage is applicable then this document will be generated</t>
  </si>
  <si>
    <t>PA to Driver</t>
  </si>
  <si>
    <t>Additional 2 pages should be printed along with the schedule</t>
  </si>
  <si>
    <t>PA to Driver &amp; Passenger</t>
  </si>
  <si>
    <t>Endorsement on PA to Driver</t>
  </si>
  <si>
    <t>2 page document will be printed for the endorsement with endorsement no</t>
  </si>
  <si>
    <t>Endorsement on PA to Driver &amp; Passenger</t>
  </si>
  <si>
    <t>Vehicle survey report</t>
  </si>
  <si>
    <t>Inspection report - Format will be shared by Yas
After inspection the underwriter will add notes in pre-inspection screen which should get printed in the Survey Report.</t>
  </si>
  <si>
    <t>Refund form</t>
  </si>
  <si>
    <t>Applicable for Cancellation endorsement</t>
  </si>
  <si>
    <t>Endorsements</t>
  </si>
  <si>
    <t>Change in owner - same policy schedule with new owner
Extension period - same policy schedule with extended period</t>
  </si>
  <si>
    <t>Renewal Notice</t>
  </si>
  <si>
    <t>Format will be shared by Yas. At present there is no format used in AMAN</t>
  </si>
  <si>
    <t>Motor Repair Order(LPO)</t>
  </si>
  <si>
    <t>For the approved garage this letter should begenerated this will be shared to garage only</t>
  </si>
  <si>
    <t>Claim Advice</t>
  </si>
  <si>
    <t>For internal use only. Need more comprehensive details. In this document they need history of claims (already registered claims and with claim no, Loss date, status as At Fault or Not At Fault with the claim amount for the insured.
Format will be shred by Claims department (including history)</t>
  </si>
  <si>
    <t>Claim Notification</t>
  </si>
  <si>
    <t>For other liable company a notification letter will be shared.
In claim notification itself provision to capture garage name for TP vehicle and same will be printed in the letter.
The TP insurance policy no and vehicle plate no will be picked from TP details block (based on the police report)</t>
  </si>
  <si>
    <t>Cash Loss CN</t>
  </si>
  <si>
    <t>Settlement direct to client is a credit note
Settlement to Garage will be Tax invoice</t>
  </si>
  <si>
    <t>Debit note</t>
  </si>
  <si>
    <t xml:space="preserve">For deducting some amount or salvage amount a debit note will be raised - Format shared </t>
  </si>
  <si>
    <t>Recovery letter</t>
  </si>
  <si>
    <t>This letter will be generated for the recovery from the Liable Insurer. Motor recovery department will send this document to the liable insurer.</t>
  </si>
  <si>
    <t>Rejection letter</t>
  </si>
  <si>
    <t>At present it is in Arabic. English format will be shared by YAS</t>
  </si>
  <si>
    <t>Release Letter</t>
  </si>
  <si>
    <t>This letter will be generated on the following scenarios
1. If YAS is moving the vehicle from one garage to another garage
2. If the vehicle is Total Loss YAS will move the vehicle from garage to yard 
3. If YAS is selling directly from garage to any person</t>
  </si>
  <si>
    <t>Total loss settlement agreement</t>
  </si>
  <si>
    <t>If the vehicle is declared total loss then this letter will be generated. A formula is there to calculate the total loss value, this will be applicable while creating the reserve or updating the reserve. This calculation is for YAS insured only.
Formula will be shared by YAS</t>
  </si>
  <si>
    <t>Committee Sheet</t>
  </si>
  <si>
    <t>Internal document.This will be shared with management.
Based on the steps for total loss. Claims department will create and approval sent to Actuarial, Legal, COO, CEO
This flow is based on authority matrix
Depreciation of value will be based on the below formula
Depreciation = ((vehicle value*depreciation %)/395)*number of days utilized
For eg
Vehicle Value - 290,600
Depreciation = 20%
Days = 339
Depreciation =49880 ((290600*20%))/395*339.
Instead of generating a document YAS expectation is to have a summary screen and through workflow the approval can be obtained.</t>
  </si>
  <si>
    <t>Subrogation &amp; Discharge Receipt</t>
  </si>
  <si>
    <t>This will be shared with customer to sign it and submit. This should be applicable for all the parties involved.</t>
  </si>
  <si>
    <t>Transfer letter</t>
  </si>
  <si>
    <t>This is applicable for Total Loss policy and sent to muroor for transfering the car to Yas name</t>
  </si>
  <si>
    <t>Bank letter</t>
  </si>
  <si>
    <t>If car is mortgaged then a document is required as a letter for the bank to get the liability letter by declaring as Total loss. This is applicable for Total loss only</t>
  </si>
  <si>
    <t>Vehicle Transfer Agreement(Mubaya)</t>
  </si>
  <si>
    <t>vehicle transfer letter for the salvage buyer</t>
  </si>
  <si>
    <t>Rent a Car letter</t>
  </si>
  <si>
    <t>Document should be in Arabic. Claims team will provide english format for Novac team to map</t>
  </si>
  <si>
    <t>OD Cash Loss arabic</t>
  </si>
  <si>
    <t>Whenever a direct settlement for cash compensation then this letter will generated and get the sign from the claimant. Be it Total loss or Repair.
Claims team will provide english format for Novac team to map</t>
  </si>
  <si>
    <t>Subrogation &amp; Discharge Receipt - Garage</t>
  </si>
  <si>
    <t>TP Cash Loss arabic</t>
  </si>
  <si>
    <t>Whenever a direct settlement for cash compensation then this letter will generated and get the sign from the TP. Be it Total loss or Repair.
Claims team will provide english format for Novac team to map</t>
  </si>
  <si>
    <t>Invoices</t>
  </si>
  <si>
    <t>At present only invoices are printed from the AMAN system</t>
  </si>
  <si>
    <t>Proforma Invoice</t>
  </si>
  <si>
    <t>Pro-forma invoice is required. This is similar to Tax Invoice, title will ne Pro-forma invoice and remove the Invoice No field.</t>
  </si>
  <si>
    <t>1.  Workdings are common - no limit or value defined
2. Description - limit will be captured for each transaction
3. Wording will be populated in Policy Wording document
4. Description should be populated in Policy Schedule - in the transaction user will be changing the limit and same should get reflected in the schedule</t>
  </si>
  <si>
    <t>Quotation Schedule</t>
  </si>
  <si>
    <t>Quotation schedule will be shared before approval</t>
  </si>
  <si>
    <t>Certificates</t>
  </si>
  <si>
    <t xml:space="preserve">Upon confirmation from the client the quotation will be approved and a Certificate will be shared 
Certificate will be generated for the iteration.
Certificate Number is a auto generated number for a quotation. </t>
  </si>
  <si>
    <t>For CAR &amp; EAR - Open Policy &amp; Declaration is applicable</t>
  </si>
  <si>
    <t>User Authorization</t>
  </si>
  <si>
    <t>In portal only for Sum Insured control is there.Not in core</t>
  </si>
  <si>
    <t>Motor authority matrix</t>
  </si>
  <si>
    <t xml:space="preserve">Underwriting officer will prepare the quotation and send it to Senior officer/Assistant Manager for recommendation. Senor officer/Assistant manager send it to Manager for approval.
Ref authority matrix shared by Yas
</t>
  </si>
  <si>
    <t>Point 1.3 in authority matrix
Underwiriting officer/Broker user creates the quote and send it to Assistant Manager for recommendation. AM will send it to Manager for approval</t>
  </si>
  <si>
    <t>User List</t>
  </si>
  <si>
    <t>Complete Employee List and AMAN User list will be shared by YAS.
CEO id will be created in application. So that any approval needed that can be done by CEO</t>
  </si>
  <si>
    <t>TP Liability</t>
  </si>
  <si>
    <t xml:space="preserve">2.6 - If TP liability is changed from 2 mn to 5 mn in that scenario Manager and HOD approval is required
Addition of Cover (Qatar) in that scenario approval is required from Manager and HOD
</t>
  </si>
  <si>
    <t>Maker checker</t>
  </si>
  <si>
    <t>based on the authority matrix
Assistant-&gt;Assitant Manager-&gt;Manger-&gt;CEO</t>
  </si>
  <si>
    <t>Approval process</t>
  </si>
  <si>
    <t>Assistant - process
Assistant Manager -0Approve 1st instance
Manager - Approve 2nd instance
CEO - Approve 3rd instance</t>
  </si>
  <si>
    <t>Above process is applicable for revision of estimate also for upward revision. If it is decrease then approval can be done by the checker</t>
  </si>
  <si>
    <t>Authority Matrix</t>
  </si>
  <si>
    <t>Agency different limits are there
Garages different limits are there</t>
  </si>
  <si>
    <t>Slavage Committee</t>
  </si>
  <si>
    <t>They are from different departments. YAS will share the user list who are part of Salvage committee.</t>
  </si>
  <si>
    <t>Legal cases</t>
  </si>
  <si>
    <t>Legal cases - verdict along with the documents will be shared with claims department. Claims department will create the estimates and send it to Legal department for approval. After legal department approval it should go the CEO approval if the amount is above 50000</t>
  </si>
  <si>
    <t>Bodily Injury</t>
  </si>
  <si>
    <t>Table of benefits will not come into picture. Based on the legal verdict the amount will be paid. If any dispute is there then based on the legal verdict the settlement will be done
Upto 20,000 will be handled claims department.
Greater than 20,000 based on authority matrix approval will be done</t>
  </si>
  <si>
    <t>Percentage calculation is not there for BI</t>
  </si>
  <si>
    <t>Settlement to other insurer</t>
  </si>
  <si>
    <t>Surveyor appointment - if they require to get a second opinion on the claim YAS will appoint an external loss asjuster for which approval is required.
There is no process of appointing non-empanalled loss adjusters. YAS Claims department will get the approval from CEO through email before creating the code. Once the approval is received then code will be created and appointed.</t>
  </si>
  <si>
    <t>8.6 point is not required - YAS will add the loss adjuster in to the application and proceed with the appointment</t>
  </si>
  <si>
    <t>Ex-Gratia</t>
  </si>
  <si>
    <t>Need to discuss with CEO</t>
  </si>
  <si>
    <t>Limit definition is required at User level instead of designation</t>
  </si>
  <si>
    <t>Upto 25000 Claims officer and Senior Claims manager will approve the claim</t>
  </si>
  <si>
    <t>Amount &gt;25000 needs approval from CEO</t>
  </si>
  <si>
    <t>Needs Sharia department approval before CEO approval. Multi level approval required.
The approval will be Vertical All</t>
  </si>
  <si>
    <t>Entity</t>
  </si>
  <si>
    <t>Addition of Non-empanelled loss adjusters</t>
  </si>
  <si>
    <t>Needs approval from CEO when the user tries to approve the Loss Adjuster while creating</t>
  </si>
  <si>
    <t>Reserve creation</t>
  </si>
  <si>
    <t>Limit definition is required at reserve creation itself. (for claims officer it should 1 mn)</t>
  </si>
  <si>
    <t>Company &amp; Book - UNO</t>
  </si>
  <si>
    <t>Company is one
Book is also one</t>
  </si>
  <si>
    <t>Accounting entries - UNO</t>
  </si>
  <si>
    <t>Normal accounting entries. Debit note for customer premium, Credit note for commission</t>
  </si>
  <si>
    <t>Policy issued in Dubai office. Collection done in Abu Dhabi office with loggin in Dubai office or Abu Dhabi office</t>
  </si>
  <si>
    <t>Accounting entries - STATIM &amp; UNO</t>
  </si>
  <si>
    <t>Inter office entries are not required</t>
  </si>
  <si>
    <t>Sample accounting entries will be shared by YAS Finance team</t>
  </si>
  <si>
    <t>Office - STATIM &amp; UNO</t>
  </si>
  <si>
    <t>Currently Separate branch is created for Shareholder branch(ho)</t>
  </si>
  <si>
    <t>Expenses - UNO</t>
  </si>
  <si>
    <t>Other than policy related expenses are booked under Share holder branch</t>
  </si>
  <si>
    <t>Trasfer of funds - UNO</t>
  </si>
  <si>
    <t>Any transfer from policy holder fund to share holder fund will be processed via JV</t>
  </si>
  <si>
    <t>Expenses - STATIM &amp; UNO</t>
  </si>
  <si>
    <t>Exgratia payment will be done through policy holder fund</t>
  </si>
  <si>
    <t>On boarding entity - STATIM &amp; UNO</t>
  </si>
  <si>
    <t>Account opening is done by finance after approval from compliance (after screening of aml,kyc)</t>
  </si>
  <si>
    <t>Based on e-invoice all the fields should be available in entity master</t>
  </si>
  <si>
    <t>Credit policy - STATIM</t>
  </si>
  <si>
    <t>Standard credit days is 90  and a credit limit by LOB is defined.
For any exception an approval from CFO is needed</t>
  </si>
  <si>
    <t>For increasing the credit limit the credit committee will decide and finance user will update. Approval will be sent to Credit Committee. 
The approval will be Vertical All</t>
  </si>
  <si>
    <t>At present credit limit validation is done against the debit passed for the entity. It is not considering any credit entries(receipt, credit note). It system should consider credit entries also for credit limit validation</t>
  </si>
  <si>
    <t>Instalment policies - STATIM</t>
  </si>
  <si>
    <t xml:space="preserve">instalment policies - invoice should be generated on the booking date for all the instalments. Based on due date the collection for the instalment will be done. </t>
  </si>
  <si>
    <t>VAT should be collected in the first instalment</t>
  </si>
  <si>
    <t>If policy is issued on Instalment basis then Commission payment will be in instalments only.
Credit note will be generated on the booking date. Payment will be done on the due date.
VAT is similar to Premium DN</t>
  </si>
  <si>
    <t>Entity - Individual - STATIM</t>
  </si>
  <si>
    <t>UAE pass integration is required while creating an Entity</t>
  </si>
  <si>
    <t>Entity - Corporate - STATIM</t>
  </si>
  <si>
    <t>For  onboarding an corporate entity YAS requested a editable PDF docuemtn which will be sent to the customer. Customer will fill and share it with YAS. Once user upload the edited pdf then the system should populate the data into the system.
YAS suggested a google form kind of screen in which a corporate customer will enter and submit which should get updated in the Entity master</t>
  </si>
  <si>
    <t>Simple pdf form filled by customer and same will be uploaded and based on OCR the data can be populated.  YAS will design the form and share.</t>
  </si>
  <si>
    <t>Collection Modes - STATIM &amp; UNO</t>
  </si>
  <si>
    <t>Cheque/Bank transfer/Cash collection/Payment link/Credit card/Debit cards/any prepaid card</t>
  </si>
  <si>
    <t xml:space="preserve">Post dated cheques are accepted for premium collection. YAS will issue a temporary receipt for the customer as a proof.
On the actual collection date the finance user will send the cheque for collection and raise a receipt for the customer.
Reminder needs to be sent to customer for post dated cheques.
</t>
  </si>
  <si>
    <t>PDC module - UNO</t>
  </si>
  <si>
    <t>PDC register is mainted in excel.
Need a screen to maintain</t>
  </si>
  <si>
    <t>Reports  - UNO</t>
  </si>
  <si>
    <t>When we generate SOA at the bottom of the report all the PDC details should be populated</t>
  </si>
  <si>
    <t>Receipt - STATIM &amp; UNO</t>
  </si>
  <si>
    <t>Cheque dishonor cases - currently manually handled</t>
  </si>
  <si>
    <t>In the receipt screen provision is required to reverse the receipt. Be it manual reversal or dishonor case</t>
  </si>
  <si>
    <t>Transaction codes - STATIM &amp; UNO</t>
  </si>
  <si>
    <t>Complete list of transaction codes currently used in AMAN will be shared by YAS Finance team</t>
  </si>
  <si>
    <t>Reports - STATIM &amp; UNO</t>
  </si>
  <si>
    <t>Report required to generate List of dishonor cases</t>
  </si>
  <si>
    <t>Reversal of voucher - UNO</t>
  </si>
  <si>
    <t>Separate transaction code is required for Reversal of voucher be it normal reversal, dishonor cases</t>
  </si>
  <si>
    <t>SOA report - UNO</t>
  </si>
  <si>
    <t>If SOA is generated for a broker then the report will generate for all the customers attached to that broker</t>
  </si>
  <si>
    <t>Agewise analysis - UNO</t>
  </si>
  <si>
    <t>Agewise analysis will be driven by the ageing pattern of sub account (insured)</t>
  </si>
  <si>
    <t>If customer is attached with multiple broker and product then the source name will be bLank while generating the SOA report</t>
  </si>
  <si>
    <t>Report - Agewise Analysis - UNO</t>
  </si>
  <si>
    <t xml:space="preserve">Based on the filtration criteria the report should be generated. It should contain range to generate. </t>
  </si>
  <si>
    <t>List of reports required from YAS
Reports required on Day1
Reports required on Day30
Reports required after a specific period</t>
  </si>
  <si>
    <t xml:space="preserve">This is required for operations as well as Finance </t>
  </si>
  <si>
    <t>Reversal of finance transaction - UNO</t>
  </si>
  <si>
    <t>Need to discuss</t>
  </si>
  <si>
    <t xml:space="preserve">Account Code - UNO </t>
  </si>
  <si>
    <t>Same series of account code is maintained for Share Holder account code.
Manually maintained the classification in TB</t>
  </si>
  <si>
    <t>Single COA and maintaining classification in TB</t>
  </si>
  <si>
    <t>Wakala Fees - STATIM</t>
  </si>
  <si>
    <t>By LOB % varies. We can define as a Fee and customer share % as 0.</t>
  </si>
  <si>
    <t>Separate accounting entries for wakala fees is required ie separate grouping of document is needed. Should not be clubbed in Premium Debit Note</t>
  </si>
  <si>
    <t>It should not be displayed in the transaction screen. Needs to be checked</t>
  </si>
  <si>
    <t>Payment Gateway - STATIM</t>
  </si>
  <si>
    <t>TELR is used for Mtor Individual policies</t>
  </si>
  <si>
    <r>
      <rPr>
        <b/>
        <sz val="11"/>
        <color theme="1"/>
        <rFont val="Calibri"/>
        <family val="2"/>
        <scheme val="minor"/>
      </rPr>
      <t>Network International</t>
    </r>
    <r>
      <rPr>
        <sz val="11"/>
        <color theme="1"/>
        <rFont val="Calibri"/>
        <family val="2"/>
        <scheme val="minor"/>
      </rPr>
      <t xml:space="preserve"> - this is used for other products</t>
    </r>
  </si>
  <si>
    <t>POS machine of network international is used for premium collection</t>
  </si>
  <si>
    <t>At present once the payment is received from Network International a manual receipt is getting issued by operation team</t>
  </si>
  <si>
    <t>API document for Network International will be shared by YAS</t>
  </si>
  <si>
    <t>In bracnches premium will be collected with the help of POS machines.  Once the the confirmation is received in the POS machine the operation user will issue the receipt manually.</t>
  </si>
  <si>
    <t>If the premium is received through Network International payment link then the receipt should be generated automatically</t>
  </si>
  <si>
    <t>Document upload - STATIM &amp; UNO</t>
  </si>
  <si>
    <t>Provision require to upload the document in the financial transaction (DMS)</t>
  </si>
  <si>
    <t>Payments - STATIM &amp; UNO</t>
  </si>
  <si>
    <t>Payment through bank transfer &amp; cheques (PDC)</t>
  </si>
  <si>
    <t>Finance team is creating GCN or Invoice manually and same will be used for payment (General Credit Note). In the payment screen for the supplier code or any other code the invoice or GCN which are outstanding should be pulled for payment</t>
  </si>
  <si>
    <t>Payments - UNO</t>
  </si>
  <si>
    <t>Agewise analysis is required for Payemnt</t>
  </si>
  <si>
    <t>Expense ammortization is required</t>
  </si>
  <si>
    <t>Monthly Accrual is required for expenses (auditor fees, rent,etc)</t>
  </si>
  <si>
    <t>Bank - STATIM &amp; UNO</t>
  </si>
  <si>
    <t>Integration with Bank is required</t>
  </si>
  <si>
    <t>VAT - STATIM &amp; UNO</t>
  </si>
  <si>
    <t>Input separate account
Output separate account</t>
  </si>
  <si>
    <t>RCM is applicable</t>
  </si>
  <si>
    <t>Standard rate
Zero rated VAT
VAT return will be shared by YAS</t>
  </si>
  <si>
    <t>VAT definition will be done by IT team</t>
  </si>
  <si>
    <t>Financial authority - YNO</t>
  </si>
  <si>
    <t>COA creation also need approval</t>
  </si>
  <si>
    <t>Reconciliation - UNO</t>
  </si>
  <si>
    <t>BRS is required</t>
  </si>
  <si>
    <t>Customer/Broker reconciliation is required by means of statement upload.
Format as per system will be reconciled with the statement shared by customer or broker. In this scenario Finance team will premium the statement received from broker/customer as per our format then upload. It should reconcile</t>
  </si>
  <si>
    <t>Petty cash - UNO</t>
  </si>
  <si>
    <t>If  it is availalble then it is required</t>
  </si>
  <si>
    <t>Budget (Expenses)- UNO</t>
  </si>
  <si>
    <t>Monthly closure - UNO</t>
  </si>
  <si>
    <t>Once the monthly closure is done by RI then finance closure will be performed. All the operations will be closed</t>
  </si>
  <si>
    <t>Provision to reopen the month for operation based on the authority by CEO</t>
  </si>
  <si>
    <t>Year end - UNO</t>
  </si>
  <si>
    <t>Year end process is don. After that opening balances will be post to next year</t>
  </si>
  <si>
    <t>Transaction number - STATIM &amp; UNO</t>
  </si>
  <si>
    <t>Number generation is year wise</t>
  </si>
  <si>
    <t>Claim acknowledgement</t>
  </si>
  <si>
    <t>This letter will be sent to the Insured about the claim after  the  registration.
This will have 2 formats. One is with Loss adjuster and another without loss adjusters. (based on the claim amount this will differ)
Amount upto 25000 - without loss adjuster
Amount &gt; 25000 - loss adjuster will be appointed
In some cases even for claim below 25000 appointment will be done which will be decided by Claims team
In some cases even for claim &gt; 25000 appointment will be not done which will be decided by Claims team.
Document will be generated based on the amount</t>
  </si>
  <si>
    <t>Claim computation</t>
  </si>
  <si>
    <t>This is applicable for WC. Claim computation screen is needed to capture break up of indemnity. For eg
Death
Loss of Wages - Formula driven 
No of days - Waiting period day(deductible)
Formula - (No of days * Basic Salary * 12/365)
Disability - (disablity % will be received from health authority in the health certificate) Based on this % it will be applied on 24 months basic salary and arrived
Medical Expenses - fixed value as per invoice (invoice should be uploaded in the system)
Employer's Liability Benefits -manually captured value</t>
  </si>
  <si>
    <t>Claim computation sheet</t>
  </si>
  <si>
    <t>This is applicable for WC.  Data should be populated from Claim computation screen.</t>
  </si>
  <si>
    <t>Declaration Form</t>
  </si>
  <si>
    <t>This is applicable for WC claim.Will be maintained outside STATIM. Once YAS received the filled form the same will be uploaded in to the claim</t>
  </si>
  <si>
    <t>Discharge Reciept</t>
  </si>
  <si>
    <t>This will be shared with insured to sign and submit. Data should be populated from claim and it will be communicated to the insured via email. Insured will take a printout, sign it, scan and send it to YAS via email. Claims department needs to upload this document in the claim.</t>
  </si>
  <si>
    <t>FAC RI claim notification</t>
  </si>
  <si>
    <t>This is a communication sent to RI department for a FAC involved claim. At present YAS is preparing this document and sending through mail to RI depart.
In STATIM if we can able to send a mail communication for the FAC claim then no need of this document</t>
  </si>
  <si>
    <t xml:space="preserve">Inhouse Survey report
This document is for internal purpose and audit. First page will be printed from the system. Rest of the pages will be prepared in word and upload it in STATIM.
If in the system a provision to capture remarks (multiple page content) and same will be printed in the report </t>
  </si>
  <si>
    <t>Letter to Finance for payment</t>
  </si>
  <si>
    <t>A notification letter to Fianance team. This can be achieved through workflow, no need of separate letter</t>
  </si>
  <si>
    <t>Non marine approval sheet</t>
  </si>
  <si>
    <t>Purpose of this letter is to get approval from CEO. This document will populate details pertains to Reinsurance also.
Claim amount
Fees
Net amount
RI details:
Retention:
Quota Share:
1st Surplus:
FAC/Local: 
Then to populate the singature whoever approves the claim based on the authority matrix including CEO</t>
  </si>
  <si>
    <t>Appointment of Loss adjuster</t>
  </si>
  <si>
    <t>Letter sent to loss adjuster</t>
  </si>
  <si>
    <t>Reservation of Rights letter</t>
  </si>
  <si>
    <t>Not required in the system as it is a letter prepared by the insured to get it signed by negligent third party</t>
  </si>
  <si>
    <t>Formats shared by YAS
All the exclusions should be populated in RED colour font
Additional Insured or a flexi field is required to capture additional details such as "as consultant and/or any subsidiaries and/or any associated and/or affiliated companies and/or joint venture companies and/or all parties for whom the Insured undertakes to insure for their respective rights and interests"</t>
  </si>
  <si>
    <t>All the endorsements are having same format.
Content against each type will be shared by YAS</t>
  </si>
  <si>
    <t>Inclusion of Mortgage
Condition and cluses will be changed and same should get reflected in the endorsement annexure</t>
  </si>
  <si>
    <t>Premium Payment Certificate</t>
  </si>
  <si>
    <t>This will be shared with the Insured once the premium is paid.</t>
  </si>
  <si>
    <t>Inclusion of Conditions &amp; Clauses endorsement
In this newly added conditions &amp; clauses should get populated in the endorsement annexure</t>
  </si>
  <si>
    <t>Updated Schedule</t>
  </si>
  <si>
    <t>Updated schedule is required to be printed from the system at any point of time
YAS team will provide 2 sample documents.</t>
  </si>
  <si>
    <t>Format shared by YAS. Notice will be sent to the brokers if the source is broker else it will be to Client/Insured</t>
  </si>
  <si>
    <t>Renewal Schedule</t>
  </si>
  <si>
    <t>This is similar to policy schedule</t>
  </si>
  <si>
    <t>Email</t>
  </si>
  <si>
    <t>Template for Renewal notification shared by Yas. Renewal Notice will be attached in the email and communicated.
At present email communication from system is expected for Renewal Notice only. Others it will be a manual process.</t>
  </si>
  <si>
    <t>Daily Production report
Commission Report for broker
Authority Quarterly report  to be shared with Central Bank
Daily report for RSA &amp; Rent a car service to the service provider
Loss Ratio Report</t>
  </si>
  <si>
    <t>Authority Quarterly report to be shared with Central Bank</t>
  </si>
  <si>
    <t xml:space="preserve">Templates for all the above reports will be provided by Hadi </t>
  </si>
  <si>
    <t xml:space="preserve">Daily Report for RSA &amp; Rent a Car - this report should be generated daily and sent to Hadi. </t>
  </si>
  <si>
    <t>Commission Report for broker will be generated for a month</t>
  </si>
  <si>
    <t>At present in Power BI they are taking a Master file which contain all the details</t>
  </si>
  <si>
    <t>Other reports list will be shared by Hadi along with the formats</t>
  </si>
  <si>
    <t>As per Hadi, those other reports should be allowed to include fields as and when required</t>
  </si>
  <si>
    <t>Quotation mail will be sent to the mail id captured in the quote</t>
  </si>
  <si>
    <t>Policy issuance mail will be sent to the mail id captured in the policy</t>
  </si>
  <si>
    <t>Endorsements mail will be sent to the mail id captured in the policy</t>
  </si>
  <si>
    <t>Cancellation mail will be sent to mail id captured in the policy</t>
  </si>
  <si>
    <t>Renewal notice will be sent through mail which is captured in the policy</t>
  </si>
  <si>
    <t>SMS</t>
  </si>
  <si>
    <t>SMS will be sent for Policy, Claim Registration &amp; Renewal.Characters restricted to 256. (Except medical claims)</t>
  </si>
  <si>
    <t>Service is in place for Policy &amp; Claims</t>
  </si>
  <si>
    <t>SMS &amp; Email template will be shared by YAS</t>
  </si>
  <si>
    <r>
      <t xml:space="preserve">Only Payment link is applicable for Individual customers.
</t>
    </r>
    <r>
      <rPr>
        <b/>
        <sz val="11"/>
        <color theme="1"/>
        <rFont val="Calibri"/>
        <family val="2"/>
        <scheme val="minor"/>
      </rPr>
      <t>Currently Cash &amp; Cheque payments are not accepted by Yas since the integration of TELR application is in place - confirmation required from Finance team</t>
    </r>
  </si>
  <si>
    <t>Process</t>
  </si>
  <si>
    <t>Unearned Premium Reserve (UPR)</t>
  </si>
  <si>
    <t>Process required to do the unearned premium reserve by LOB/Product.
Following methods to be available
1/365
1/24</t>
  </si>
  <si>
    <t>Data Migration</t>
  </si>
  <si>
    <t>Workflow integration for new business</t>
  </si>
  <si>
    <t>Workflow integration for claims</t>
  </si>
  <si>
    <t>Workflow integration for Reinsurance</t>
  </si>
  <si>
    <t>Dynamic Rules</t>
  </si>
  <si>
    <t>Dynamic Rule Implementation - New Business + Endorsements</t>
  </si>
  <si>
    <t>Dynamic Rule Implementation - Claims</t>
  </si>
  <si>
    <t>Dunning Module integration</t>
  </si>
  <si>
    <t>Dunning Module integration (DocPrint) - Entity Master</t>
  </si>
  <si>
    <t>Dunning Module integration (DocPrint) - Claims</t>
  </si>
  <si>
    <t>Email, WhatsApp &amp; SMS Integration - New Business &amp; Endorsements</t>
  </si>
  <si>
    <t>Email, WhatsApp &amp; SMS Integration - Claims</t>
  </si>
  <si>
    <t>Email, WhatsApp &amp; SMS Integration - Entity Master</t>
  </si>
  <si>
    <t>Budget (Target Master)</t>
  </si>
  <si>
    <t>Provision to define sales target by LOB</t>
  </si>
  <si>
    <t xml:space="preserve">Following products required as priority
1. Property All Risk
2. Contractors All Risk
3. Erection All Risk
4. Marine Open Cover(certificates)
5. Third Party Liability
6. WC
</t>
  </si>
  <si>
    <t>Provision to create FNOL and reject for non applicable claims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</si>
</sst>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1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6">
    <xf numFmtId="0" fontId="0" fillId="0" borderId="0" xfId="0"/>
    <xf numFmtId="0" fontId="1" fillId="0" borderId="1" xfId="0" applyFont="1" applyBorder="1" applyAlignment="1">
      <alignment vertical="top"/>
    </xf>
    <xf numFmtId="0" fontId="1" fillId="2" borderId="1" xfId="0" applyFont="1" applyFill="1" applyBorder="1" applyAlignment="1">
      <alignment vertical="top"/>
    </xf>
    <xf numFmtId="0" fontId="1" fillId="2" borderId="1" xfId="0" applyFont="1" applyFill="1" applyBorder="1" applyAlignment="1">
      <alignment vertical="top" wrapText="1"/>
    </xf>
    <xf numFmtId="0" fontId="1" fillId="0" borderId="1" xfId="0" applyFont="1" applyBorder="1" applyAlignment="1">
      <alignment vertical="top" wrapText="1"/>
    </xf>
    <xf numFmtId="0" fontId="0" fillId="0" borderId="1" xfId="0" applyBorder="1" applyAlignment="1">
      <alignment vertical="top"/>
    </xf>
    <xf numFmtId="0" fontId="0" fillId="0" borderId="0" xfId="0" applyAlignment="1">
      <alignment vertical="top"/>
    </xf>
    <xf numFmtId="0" fontId="0" fillId="0" borderId="1" xfId="0" applyBorder="1" applyAlignment="1">
      <alignment vertical="top" wrapText="1"/>
    </xf>
    <xf numFmtId="0" fontId="0" fillId="0" borderId="1" xfId="0" applyFont="1" applyBorder="1" applyAlignment="1">
      <alignment vertical="top" wrapText="1"/>
    </xf>
    <xf numFmtId="0" fontId="0" fillId="2" borderId="1" xfId="0" applyFill="1" applyBorder="1" applyAlignment="1">
      <alignment vertical="top" wrapText="1"/>
    </xf>
    <xf numFmtId="0" fontId="2" fillId="0" borderId="1" xfId="0" applyFont="1" applyBorder="1" applyAlignment="1">
      <alignment vertical="top" wrapText="1"/>
    </xf>
    <xf numFmtId="0" fontId="0" fillId="0" borderId="1" xfId="0" applyFont="1" applyBorder="1" applyAlignment="1">
      <alignment vertical="top"/>
    </xf>
    <xf numFmtId="0" fontId="0" fillId="0" borderId="1" xfId="0" applyFill="1" applyBorder="1" applyAlignment="1">
      <alignment vertical="top"/>
    </xf>
    <xf numFmtId="0" fontId="0" fillId="0" borderId="1" xfId="0" applyFill="1" applyBorder="1" applyAlignment="1">
      <alignment vertical="top" wrapText="1"/>
    </xf>
    <xf numFmtId="0" fontId="0" fillId="2" borderId="1" xfId="0" applyFill="1" applyBorder="1" applyAlignment="1">
      <alignment vertical="top"/>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5" borderId="1" xfId="0" applyFill="1" applyBorder="1" applyAlignment="1">
      <alignment vertical="top"/>
    </xf>
    <xf numFmtId="0" fontId="0" fillId="4" borderId="1" xfId="0" applyFill="1" applyBorder="1" applyAlignment="1">
      <alignment vertical="top"/>
    </xf>
    <xf numFmtId="0" fontId="0" fillId="6" borderId="1" xfId="0" applyFill="1" applyBorder="1" applyAlignment="1">
      <alignment vertical="top"/>
    </xf>
    <xf numFmtId="0" fontId="0" fillId="0" borderId="1" xfId="0" applyBorder="1"/>
    <xf numFmtId="0" fontId="0" fillId="0" borderId="1" xfId="0" applyBorder="1" applyAlignment="1">
      <alignment wrapText="1"/>
    </xf>
    <xf numFmtId="0" fontId="0" fillId="0" borderId="2" xfId="0" applyBorder="1" applyAlignment="1">
      <alignment vertical="top"/>
    </xf>
    <xf numFmtId="0" fontId="0" fillId="0" borderId="2" xfId="0"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1778/Downloads/ACD%20-%20Consolidated%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D%20-%20Consolidated%20V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sheetName val="ACD"/>
      <sheetName val="FinanceSummary"/>
      <sheetName val="KYC Regulation"/>
      <sheetName val="18-Jun-26"/>
      <sheetName val="22-Jun-26"/>
      <sheetName val="eInvoice"/>
      <sheetName val="Sheet3"/>
      <sheetName val="29-Jun-26"/>
      <sheetName val="30-Jun-26"/>
      <sheetName val="01-Jul-26"/>
      <sheetName val="02-Jul-26"/>
      <sheetName val="ShoryDiscus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sheetName val="ACD"/>
      <sheetName val="FinanceSummary"/>
      <sheetName val="KYC Regulation"/>
      <sheetName val="18-Jun-26"/>
      <sheetName val="22-Jun-26"/>
      <sheetName val="eInvoice"/>
      <sheetName val="Sheet3"/>
      <sheetName val="29-Jun-26"/>
      <sheetName val="30-Jun-26"/>
      <sheetName val="01-Jul-26"/>
      <sheetName val="02-Jul-26"/>
      <sheetName val="ShoryDiscussion"/>
      <sheetName val="ACD-2-YAS"/>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5"/>
  <sheetViews>
    <sheetView tabSelected="1" zoomScale="85" zoomScaleNormal="85" workbookViewId="0">
      <selection activeCell="E2" sqref="E2"/>
    </sheetView>
  </sheetViews>
  <sheetFormatPr defaultColWidth="8.7109375" defaultRowHeight="15" x14ac:dyDescent="0.25"/>
  <cols>
    <col min="1" max="1" width="5.7109375" style="6" bestFit="1" customWidth="1"/>
    <col min="2" max="2" width="31.5703125" style="6" bestFit="1" customWidth="1"/>
    <col min="3" max="3" width="11.7109375" style="6" customWidth="1"/>
    <col min="4" max="4" width="16" style="6" customWidth="1"/>
    <col min="5" max="5" width="17.85546875" style="6" customWidth="1"/>
    <col min="6" max="6" width="40" style="6" bestFit="1" customWidth="1"/>
    <col min="7" max="7" width="79.42578125" style="25" bestFit="1" customWidth="1"/>
    <col min="8" max="8" width="28.85546875" style="6" customWidth="1"/>
    <col min="9" max="16384" width="8.7109375" style="6"/>
  </cols>
  <sheetData>
    <row r="1" spans="1:8" x14ac:dyDescent="0.25">
      <c r="A1" s="1" t="s">
        <v>0</v>
      </c>
      <c r="B1" s="2" t="s">
        <v>1</v>
      </c>
      <c r="C1" s="2" t="s">
        <v>2</v>
      </c>
      <c r="D1" s="2" t="s">
        <v>3</v>
      </c>
      <c r="E1" s="2" t="s">
        <v>4</v>
      </c>
      <c r="F1" s="2" t="s">
        <v>5</v>
      </c>
      <c r="G1" s="3" t="s">
        <v>6</v>
      </c>
      <c r="H1" s="2" t="s">
        <v>7</v>
      </c>
    </row>
    <row r="2" spans="1:8" ht="150" x14ac:dyDescent="0.25">
      <c r="A2" s="5">
        <v>1</v>
      </c>
      <c r="B2" s="5" t="str">
        <f>"STATIM-"&amp;C2&amp;"-"&amp;D2&amp;"-"&amp;TEXT(COUNTIFS($C$2:C2,C2,$D$2:D2,D2),"000")</f>
        <v>STATIM-UW-Motor-001</v>
      </c>
      <c r="C2" s="5" t="s">
        <v>8</v>
      </c>
      <c r="D2" s="5" t="s">
        <v>9</v>
      </c>
      <c r="E2" s="5" t="s">
        <v>10</v>
      </c>
      <c r="F2" s="5" t="s">
        <v>11</v>
      </c>
      <c r="G2" s="7" t="s">
        <v>12</v>
      </c>
      <c r="H2" s="5" t="s">
        <v>13</v>
      </c>
    </row>
    <row r="3" spans="1:8" ht="240" x14ac:dyDescent="0.25">
      <c r="A3" s="5">
        <v>2</v>
      </c>
      <c r="B3" s="5" t="str">
        <f>"STATIM-"&amp;C3&amp;"-"&amp;D3&amp;"-"&amp;TEXT(COUNTIFS($C$2:C3,C3,$D$2:D3,D3),"000")</f>
        <v>STATIM-UW-Motor-002</v>
      </c>
      <c r="C3" s="5" t="s">
        <v>8</v>
      </c>
      <c r="D3" s="5" t="s">
        <v>9</v>
      </c>
      <c r="E3" s="5" t="s">
        <v>14</v>
      </c>
      <c r="F3" s="5" t="s">
        <v>15</v>
      </c>
      <c r="G3" s="7" t="s">
        <v>16</v>
      </c>
      <c r="H3" s="5" t="s">
        <v>13</v>
      </c>
    </row>
    <row r="4" spans="1:8" ht="45" x14ac:dyDescent="0.25">
      <c r="A4" s="5">
        <v>3</v>
      </c>
      <c r="B4" s="5" t="str">
        <f>"STATIM-"&amp;C4&amp;"-"&amp;D4&amp;"-"&amp;TEXT(COUNTIFS($C$2:C4,C4,$D$2:D4,D4),"000")</f>
        <v>STATIM-UW-Motor-003</v>
      </c>
      <c r="C4" s="5" t="s">
        <v>8</v>
      </c>
      <c r="D4" s="5" t="s">
        <v>9</v>
      </c>
      <c r="E4" s="5" t="s">
        <v>17</v>
      </c>
      <c r="F4" s="5" t="s">
        <v>18</v>
      </c>
      <c r="G4" s="7" t="s">
        <v>19</v>
      </c>
      <c r="H4" s="5" t="s">
        <v>20</v>
      </c>
    </row>
    <row r="5" spans="1:8" ht="45" x14ac:dyDescent="0.25">
      <c r="A5" s="5">
        <v>4</v>
      </c>
      <c r="B5" s="5" t="str">
        <f>"STATIM-"&amp;C5&amp;"-"&amp;D5&amp;"-"&amp;TEXT(COUNTIFS($C$2:C5,C5,$D$2:D5,D5),"000")</f>
        <v>STATIM-UW-Motor-004</v>
      </c>
      <c r="C5" s="5" t="s">
        <v>8</v>
      </c>
      <c r="D5" s="5" t="s">
        <v>9</v>
      </c>
      <c r="E5" s="5" t="s">
        <v>17</v>
      </c>
      <c r="F5" s="5" t="s">
        <v>21</v>
      </c>
      <c r="G5" s="7" t="s">
        <v>22</v>
      </c>
      <c r="H5" s="5" t="s">
        <v>20</v>
      </c>
    </row>
    <row r="6" spans="1:8" ht="60" x14ac:dyDescent="0.25">
      <c r="A6" s="5">
        <v>5</v>
      </c>
      <c r="B6" s="5" t="str">
        <f>"STATIM-"&amp;C6&amp;"-"&amp;D6&amp;"-"&amp;TEXT(COUNTIFS($C$2:C6,C6,$D$2:D6,D6),"000")</f>
        <v>STATIM-UW-Motor-005</v>
      </c>
      <c r="C6" s="5" t="s">
        <v>8</v>
      </c>
      <c r="D6" s="5" t="s">
        <v>9</v>
      </c>
      <c r="E6" s="5" t="s">
        <v>17</v>
      </c>
      <c r="F6" s="5" t="s">
        <v>23</v>
      </c>
      <c r="G6" s="7" t="s">
        <v>24</v>
      </c>
      <c r="H6" s="5" t="s">
        <v>25</v>
      </c>
    </row>
    <row r="7" spans="1:8" ht="45" x14ac:dyDescent="0.25">
      <c r="A7" s="5">
        <v>6</v>
      </c>
      <c r="B7" s="5" t="str">
        <f>"STATIM-"&amp;C7&amp;"-"&amp;D7&amp;"-"&amp;TEXT(COUNTIFS($C$2:C7,C7,$D$2:D7,D7),"000")</f>
        <v>STATIM-UW-Motor-006</v>
      </c>
      <c r="C7" s="5" t="s">
        <v>8</v>
      </c>
      <c r="D7" s="5" t="s">
        <v>9</v>
      </c>
      <c r="E7" s="5" t="s">
        <v>17</v>
      </c>
      <c r="F7" s="5" t="s">
        <v>26</v>
      </c>
      <c r="G7" s="8" t="s">
        <v>27</v>
      </c>
      <c r="H7" s="5" t="s">
        <v>20</v>
      </c>
    </row>
    <row r="8" spans="1:8" ht="90" x14ac:dyDescent="0.25">
      <c r="A8" s="5">
        <v>7</v>
      </c>
      <c r="B8" s="5" t="str">
        <f>"STATIM-"&amp;C8&amp;"-"&amp;D8&amp;"-"&amp;TEXT(COUNTIFS($C$2:C8,C8,$D$2:D8,D8),"000")</f>
        <v>STATIM-UW-Motor-007</v>
      </c>
      <c r="C8" s="5" t="s">
        <v>8</v>
      </c>
      <c r="D8" s="5" t="s">
        <v>9</v>
      </c>
      <c r="E8" s="5" t="s">
        <v>17</v>
      </c>
      <c r="F8" s="5" t="s">
        <v>28</v>
      </c>
      <c r="G8" s="9" t="s">
        <v>29</v>
      </c>
      <c r="H8" s="5" t="s">
        <v>30</v>
      </c>
    </row>
    <row r="9" spans="1:8" ht="225" x14ac:dyDescent="0.25">
      <c r="A9" s="5">
        <v>8</v>
      </c>
      <c r="B9" s="5" t="str">
        <f>"STATIM-"&amp;C9&amp;"-"&amp;D9&amp;"-"&amp;TEXT(COUNTIFS($C$2:C9,C9,$D$2:D9,D9),"000")</f>
        <v>STATIM-UW-Motor-008</v>
      </c>
      <c r="C9" s="5" t="s">
        <v>8</v>
      </c>
      <c r="D9" s="5" t="s">
        <v>9</v>
      </c>
      <c r="E9" s="5" t="s">
        <v>17</v>
      </c>
      <c r="F9" s="1" t="s">
        <v>31</v>
      </c>
      <c r="G9" s="7" t="s">
        <v>32</v>
      </c>
      <c r="H9" s="5" t="s">
        <v>13</v>
      </c>
    </row>
    <row r="10" spans="1:8" ht="405" x14ac:dyDescent="0.25">
      <c r="A10" s="5">
        <v>9</v>
      </c>
      <c r="B10" s="5" t="str">
        <f>"STATIM-"&amp;C10&amp;"-"&amp;D10&amp;"-"&amp;TEXT(COUNTIFS($C$2:C10,C10,$D$2:D10,D10),"000")</f>
        <v>STATIM-UW-Motor-009</v>
      </c>
      <c r="C10" s="5" t="s">
        <v>8</v>
      </c>
      <c r="D10" s="5" t="s">
        <v>9</v>
      </c>
      <c r="E10" s="5" t="s">
        <v>17</v>
      </c>
      <c r="F10" s="5" t="s">
        <v>33</v>
      </c>
      <c r="G10" s="7" t="s">
        <v>34</v>
      </c>
      <c r="H10" s="5" t="s">
        <v>13</v>
      </c>
    </row>
    <row r="11" spans="1:8" ht="75" x14ac:dyDescent="0.25">
      <c r="A11" s="5">
        <v>10</v>
      </c>
      <c r="B11" s="5" t="str">
        <f>"STATIM-"&amp;C11&amp;"-"&amp;D11&amp;"-"&amp;TEXT(COUNTIFS($C$2:C11,C11,$D$2:D11,D11),"000")</f>
        <v>STATIM-UW-Motor-010</v>
      </c>
      <c r="C11" s="5" t="s">
        <v>8</v>
      </c>
      <c r="D11" s="5" t="s">
        <v>9</v>
      </c>
      <c r="E11" s="5" t="s">
        <v>17</v>
      </c>
      <c r="F11" s="5" t="s">
        <v>35</v>
      </c>
      <c r="G11" s="7" t="s">
        <v>36</v>
      </c>
      <c r="H11" s="5" t="s">
        <v>30</v>
      </c>
    </row>
    <row r="12" spans="1:8" ht="45" x14ac:dyDescent="0.25">
      <c r="A12" s="5">
        <v>11</v>
      </c>
      <c r="B12" s="5" t="str">
        <f>"STATIM-"&amp;C12&amp;"-"&amp;D12&amp;"-"&amp;TEXT(COUNTIFS($C$2:C12,C12,$D$2:D12,D12),"000")</f>
        <v>STATIM-UW-Motor-011</v>
      </c>
      <c r="C12" s="5" t="s">
        <v>8</v>
      </c>
      <c r="D12" s="5" t="s">
        <v>9</v>
      </c>
      <c r="E12" s="5" t="s">
        <v>17</v>
      </c>
      <c r="F12" s="5" t="s">
        <v>37</v>
      </c>
      <c r="G12" s="7" t="s">
        <v>38</v>
      </c>
      <c r="H12" s="5" t="s">
        <v>13</v>
      </c>
    </row>
    <row r="13" spans="1:8" ht="60" x14ac:dyDescent="0.25">
      <c r="A13" s="5">
        <v>12</v>
      </c>
      <c r="B13" s="5" t="str">
        <f>"STATIM-"&amp;C13&amp;"-"&amp;D13&amp;"-"&amp;TEXT(COUNTIFS($C$2:C13,C13,$D$2:D13,D13),"000")</f>
        <v>STATIM-UW-Motor-012</v>
      </c>
      <c r="C13" s="5" t="s">
        <v>8</v>
      </c>
      <c r="D13" s="5" t="s">
        <v>9</v>
      </c>
      <c r="E13" s="5" t="s">
        <v>17</v>
      </c>
      <c r="F13" s="5" t="s">
        <v>39</v>
      </c>
      <c r="G13" s="7" t="s">
        <v>40</v>
      </c>
      <c r="H13" s="5" t="s">
        <v>30</v>
      </c>
    </row>
    <row r="14" spans="1:8" ht="120" x14ac:dyDescent="0.25">
      <c r="A14" s="5">
        <v>13</v>
      </c>
      <c r="B14" s="5" t="str">
        <f>"STATIM-"&amp;C14&amp;"-"&amp;D14&amp;"-"&amp;TEXT(COUNTIFS($C$2:C14,C14,$D$2:D14,D14),"000")</f>
        <v>STATIM-UW-Motor-013</v>
      </c>
      <c r="C14" s="5" t="s">
        <v>8</v>
      </c>
      <c r="D14" s="5" t="s">
        <v>9</v>
      </c>
      <c r="E14" s="5" t="s">
        <v>17</v>
      </c>
      <c r="F14" s="5" t="s">
        <v>41</v>
      </c>
      <c r="G14" s="7" t="s">
        <v>42</v>
      </c>
      <c r="H14" s="5" t="s">
        <v>43</v>
      </c>
    </row>
    <row r="15" spans="1:8" ht="120" x14ac:dyDescent="0.25">
      <c r="A15" s="5">
        <v>14</v>
      </c>
      <c r="B15" s="5" t="str">
        <f>"STATIM-"&amp;C15&amp;"-"&amp;D15&amp;"-"&amp;TEXT(COUNTIFS($C$2:C15,C15,$D$2:D15,D15),"000")</f>
        <v>STATIM-UW-Motor-014</v>
      </c>
      <c r="C15" s="5" t="s">
        <v>8</v>
      </c>
      <c r="D15" s="5" t="s">
        <v>9</v>
      </c>
      <c r="E15" s="5" t="s">
        <v>17</v>
      </c>
      <c r="F15" s="5" t="s">
        <v>44</v>
      </c>
      <c r="G15" s="10" t="s">
        <v>45</v>
      </c>
      <c r="H15" s="5" t="s">
        <v>13</v>
      </c>
    </row>
    <row r="16" spans="1:8" ht="45" x14ac:dyDescent="0.25">
      <c r="A16" s="5">
        <v>15</v>
      </c>
      <c r="B16" s="5" t="str">
        <f>"STATIM-"&amp;C16&amp;"-"&amp;D16&amp;"-"&amp;TEXT(COUNTIFS($C$2:C16,C16,$D$2:D16,D16),"000")</f>
        <v>STATIM-UW-Motor-015</v>
      </c>
      <c r="C16" s="5" t="s">
        <v>8</v>
      </c>
      <c r="D16" s="5" t="s">
        <v>9</v>
      </c>
      <c r="E16" s="5" t="s">
        <v>17</v>
      </c>
      <c r="F16" s="11" t="s">
        <v>46</v>
      </c>
      <c r="G16" s="10" t="s">
        <v>47</v>
      </c>
      <c r="H16" s="5" t="s">
        <v>43</v>
      </c>
    </row>
    <row r="17" spans="1:8" ht="30" x14ac:dyDescent="0.25">
      <c r="A17" s="5">
        <v>16</v>
      </c>
      <c r="B17" s="5" t="str">
        <f>"STATIM-"&amp;C17&amp;"-"&amp;D17&amp;"-"&amp;TEXT(COUNTIFS($C$2:C17,C17,$D$2:D17,D17),"000")</f>
        <v>STATIM-UW-Motor-016</v>
      </c>
      <c r="C17" s="5" t="s">
        <v>8</v>
      </c>
      <c r="D17" s="5" t="s">
        <v>9</v>
      </c>
      <c r="E17" s="5" t="s">
        <v>17</v>
      </c>
      <c r="F17" s="11" t="s">
        <v>46</v>
      </c>
      <c r="G17" s="10" t="s">
        <v>48</v>
      </c>
      <c r="H17" s="5" t="s">
        <v>43</v>
      </c>
    </row>
    <row r="18" spans="1:8" ht="30" x14ac:dyDescent="0.25">
      <c r="A18" s="5">
        <v>17</v>
      </c>
      <c r="B18" s="5" t="str">
        <f>"STATIM-"&amp;C18&amp;"-"&amp;D18&amp;"-"&amp;TEXT(COUNTIFS($C$2:C18,C18,$D$2:D18,D18),"000")</f>
        <v>STATIM-UW-Motor-017</v>
      </c>
      <c r="C18" s="5" t="s">
        <v>8</v>
      </c>
      <c r="D18" s="5" t="s">
        <v>9</v>
      </c>
      <c r="E18" s="5" t="s">
        <v>17</v>
      </c>
      <c r="F18" s="5" t="s">
        <v>49</v>
      </c>
      <c r="G18" s="7" t="s">
        <v>50</v>
      </c>
      <c r="H18" s="5" t="s">
        <v>13</v>
      </c>
    </row>
    <row r="19" spans="1:8" ht="60" x14ac:dyDescent="0.25">
      <c r="A19" s="5">
        <v>18</v>
      </c>
      <c r="B19" s="5" t="str">
        <f>"STATIM-"&amp;C19&amp;"-"&amp;D19&amp;"-"&amp;TEXT(COUNTIFS($C$2:C19,C19,$D$2:D19,D19),"000")</f>
        <v>STATIM-UW-Motor-018</v>
      </c>
      <c r="C19" s="5" t="s">
        <v>8</v>
      </c>
      <c r="D19" s="5" t="s">
        <v>9</v>
      </c>
      <c r="E19" s="5" t="s">
        <v>17</v>
      </c>
      <c r="F19" s="5" t="s">
        <v>51</v>
      </c>
      <c r="G19" s="7" t="s">
        <v>52</v>
      </c>
      <c r="H19" s="5" t="s">
        <v>20</v>
      </c>
    </row>
    <row r="20" spans="1:8" ht="135" x14ac:dyDescent="0.25">
      <c r="A20" s="5">
        <v>19</v>
      </c>
      <c r="B20" s="5" t="str">
        <f>"STATIM-"&amp;C20&amp;"-"&amp;D20&amp;"-"&amp;TEXT(COUNTIFS($C$2:C20,C20,$D$2:D20,D20),"000")</f>
        <v>STATIM-UW-Motor-019</v>
      </c>
      <c r="C20" s="5" t="s">
        <v>8</v>
      </c>
      <c r="D20" s="5" t="s">
        <v>9</v>
      </c>
      <c r="E20" s="5" t="s">
        <v>17</v>
      </c>
      <c r="F20" s="5" t="s">
        <v>53</v>
      </c>
      <c r="G20" s="9" t="s">
        <v>54</v>
      </c>
      <c r="H20" s="5" t="s">
        <v>13</v>
      </c>
    </row>
    <row r="21" spans="1:8" ht="75" x14ac:dyDescent="0.25">
      <c r="A21" s="5">
        <v>20</v>
      </c>
      <c r="B21" s="5" t="str">
        <f>"STATIM-"&amp;C21&amp;"-"&amp;D21&amp;"-"&amp;TEXT(COUNTIFS($C$2:C21,C21,$D$2:D21,D21),"000")</f>
        <v>STATIM-UW-Motor-020</v>
      </c>
      <c r="C21" s="5" t="s">
        <v>8</v>
      </c>
      <c r="D21" s="5" t="s">
        <v>9</v>
      </c>
      <c r="E21" s="5" t="s">
        <v>17</v>
      </c>
      <c r="F21" s="5" t="s">
        <v>55</v>
      </c>
      <c r="G21" s="7" t="s">
        <v>56</v>
      </c>
      <c r="H21" s="5" t="s">
        <v>13</v>
      </c>
    </row>
    <row r="22" spans="1:8" x14ac:dyDescent="0.25">
      <c r="A22" s="5">
        <v>21</v>
      </c>
      <c r="B22" s="5" t="str">
        <f>"STATIM-"&amp;C22&amp;"-"&amp;D22&amp;"-"&amp;TEXT(COUNTIFS($C$2:C22,C22,$D$2:D22,D22),"000")</f>
        <v>STATIM-UW-Motor-021</v>
      </c>
      <c r="C22" s="5" t="s">
        <v>8</v>
      </c>
      <c r="D22" s="5" t="s">
        <v>9</v>
      </c>
      <c r="E22" s="5" t="s">
        <v>17</v>
      </c>
      <c r="F22" s="5" t="s">
        <v>55</v>
      </c>
      <c r="G22" s="7" t="s">
        <v>57</v>
      </c>
      <c r="H22" s="5" t="s">
        <v>13</v>
      </c>
    </row>
    <row r="23" spans="1:8" x14ac:dyDescent="0.25">
      <c r="A23" s="5">
        <v>22</v>
      </c>
      <c r="B23" s="5" t="str">
        <f>"STATIM-"&amp;C23&amp;"-"&amp;D23&amp;"-"&amp;TEXT(COUNTIFS($C$2:C23,C23,$D$2:D23,D23),"000")</f>
        <v>STATIM-UW-Motor-022</v>
      </c>
      <c r="C23" s="5" t="s">
        <v>8</v>
      </c>
      <c r="D23" s="5" t="s">
        <v>9</v>
      </c>
      <c r="E23" s="5" t="s">
        <v>17</v>
      </c>
      <c r="F23" s="5" t="s">
        <v>55</v>
      </c>
      <c r="G23" s="7" t="s">
        <v>58</v>
      </c>
      <c r="H23" s="5" t="s">
        <v>13</v>
      </c>
    </row>
    <row r="24" spans="1:8" x14ac:dyDescent="0.25">
      <c r="A24" s="5">
        <v>23</v>
      </c>
      <c r="B24" s="5" t="str">
        <f>"STATIM-"&amp;C24&amp;"-"&amp;D24&amp;"-"&amp;TEXT(COUNTIFS($C$2:C24,C24,$D$2:D24,D24),"000")</f>
        <v>STATIM-UW-Motor-023</v>
      </c>
      <c r="C24" s="5" t="s">
        <v>8</v>
      </c>
      <c r="D24" s="5" t="s">
        <v>9</v>
      </c>
      <c r="E24" s="5" t="s">
        <v>17</v>
      </c>
      <c r="F24" s="5" t="s">
        <v>55</v>
      </c>
      <c r="G24" s="7" t="s">
        <v>59</v>
      </c>
      <c r="H24" s="5" t="s">
        <v>13</v>
      </c>
    </row>
    <row r="25" spans="1:8" ht="30" x14ac:dyDescent="0.25">
      <c r="A25" s="5">
        <v>24</v>
      </c>
      <c r="B25" s="5" t="str">
        <f>"STATIM-"&amp;C25&amp;"-"&amp;D25&amp;"-"&amp;TEXT(COUNTIFS($C$2:C25,C25,$D$2:D25,D25),"000")</f>
        <v>STATIM-UW-Motor-024</v>
      </c>
      <c r="C25" s="5" t="s">
        <v>8</v>
      </c>
      <c r="D25" s="5" t="s">
        <v>9</v>
      </c>
      <c r="E25" s="5" t="s">
        <v>17</v>
      </c>
      <c r="F25" s="12" t="s">
        <v>60</v>
      </c>
      <c r="G25" s="7" t="s">
        <v>61</v>
      </c>
      <c r="H25" s="5" t="s">
        <v>13</v>
      </c>
    </row>
    <row r="26" spans="1:8" ht="45" x14ac:dyDescent="0.25">
      <c r="A26" s="5">
        <v>25</v>
      </c>
      <c r="B26" s="5" t="str">
        <f>"STATIM-"&amp;C26&amp;"-"&amp;D26&amp;"-"&amp;TEXT(COUNTIFS($C$2:C26,C26,$D$2:D26,D26),"000")</f>
        <v>STATIM-UW-Motor-025</v>
      </c>
      <c r="C26" s="5" t="s">
        <v>8</v>
      </c>
      <c r="D26" s="5" t="s">
        <v>9</v>
      </c>
      <c r="E26" s="5" t="s">
        <v>17</v>
      </c>
      <c r="F26" s="5" t="s">
        <v>62</v>
      </c>
      <c r="G26" s="7" t="s">
        <v>63</v>
      </c>
      <c r="H26" s="5" t="s">
        <v>64</v>
      </c>
    </row>
    <row r="27" spans="1:8" ht="45" x14ac:dyDescent="0.25">
      <c r="A27" s="5">
        <v>26</v>
      </c>
      <c r="B27" s="5" t="str">
        <f>"STATIM-"&amp;C27&amp;"-"&amp;D27&amp;"-"&amp;TEXT(COUNTIFS($C$2:C27,C27,$D$2:D27,D27),"000")</f>
        <v>STATIM-UW-Motor-026</v>
      </c>
      <c r="C27" s="5" t="s">
        <v>8</v>
      </c>
      <c r="D27" s="5" t="s">
        <v>9</v>
      </c>
      <c r="E27" s="5" t="s">
        <v>17</v>
      </c>
      <c r="F27" s="5" t="s">
        <v>65</v>
      </c>
      <c r="G27" s="7" t="s">
        <v>66</v>
      </c>
      <c r="H27" s="5" t="s">
        <v>20</v>
      </c>
    </row>
    <row r="28" spans="1:8" ht="225" x14ac:dyDescent="0.25">
      <c r="A28" s="5">
        <v>27</v>
      </c>
      <c r="B28" s="5" t="str">
        <f>"STATIM-"&amp;C28&amp;"-"&amp;D28&amp;"-"&amp;TEXT(COUNTIFS($C$2:C28,C28,$D$2:D28,D28),"000")</f>
        <v>STATIM-UW-Motor-027</v>
      </c>
      <c r="C28" s="5" t="s">
        <v>8</v>
      </c>
      <c r="D28" s="5" t="s">
        <v>9</v>
      </c>
      <c r="E28" s="5" t="s">
        <v>17</v>
      </c>
      <c r="F28" s="5" t="s">
        <v>65</v>
      </c>
      <c r="G28" s="7" t="s">
        <v>67</v>
      </c>
      <c r="H28" s="5" t="s">
        <v>43</v>
      </c>
    </row>
    <row r="29" spans="1:8" ht="210" x14ac:dyDescent="0.25">
      <c r="A29" s="5">
        <v>28</v>
      </c>
      <c r="B29" s="5" t="str">
        <f>"STATIM-"&amp;C29&amp;"-"&amp;D29&amp;"-"&amp;TEXT(COUNTIFS($C$2:C29,C29,$D$2:D29,D29),"000")</f>
        <v>STATIM-UW-Motor-028</v>
      </c>
      <c r="C29" s="5" t="s">
        <v>8</v>
      </c>
      <c r="D29" s="5" t="s">
        <v>9</v>
      </c>
      <c r="E29" s="5" t="s">
        <v>17</v>
      </c>
      <c r="F29" s="5" t="s">
        <v>65</v>
      </c>
      <c r="G29" s="7" t="s">
        <v>68</v>
      </c>
      <c r="H29" s="5" t="s">
        <v>13</v>
      </c>
    </row>
    <row r="30" spans="1:8" ht="264.75" customHeight="1" x14ac:dyDescent="0.25">
      <c r="A30" s="5">
        <v>29</v>
      </c>
      <c r="B30" s="5" t="str">
        <f>"STATIM-"&amp;C30&amp;"-"&amp;D30&amp;"-"&amp;TEXT(COUNTIFS($C$2:C30,C30,$D$2:D30,D30),"000")</f>
        <v>STATIM-UW-Motor-029</v>
      </c>
      <c r="C30" s="5" t="s">
        <v>8</v>
      </c>
      <c r="D30" s="5" t="s">
        <v>9</v>
      </c>
      <c r="E30" s="5" t="s">
        <v>17</v>
      </c>
      <c r="F30" s="5" t="s">
        <v>69</v>
      </c>
      <c r="G30" s="9" t="s">
        <v>70</v>
      </c>
      <c r="H30" s="5" t="s">
        <v>30</v>
      </c>
    </row>
    <row r="31" spans="1:8" ht="30" x14ac:dyDescent="0.25">
      <c r="A31" s="5">
        <v>30</v>
      </c>
      <c r="B31" s="5" t="str">
        <f>"STATIM-"&amp;C31&amp;"-"&amp;D31&amp;"-"&amp;TEXT(COUNTIFS($C$2:C31,C31,$D$2:D31,D31),"000")</f>
        <v>STATIM-UW-Motor-030</v>
      </c>
      <c r="C31" s="5" t="s">
        <v>8</v>
      </c>
      <c r="D31" s="5" t="s">
        <v>9</v>
      </c>
      <c r="E31" s="5" t="s">
        <v>17</v>
      </c>
      <c r="F31" s="12" t="s">
        <v>65</v>
      </c>
      <c r="G31" s="13" t="s">
        <v>71</v>
      </c>
      <c r="H31" s="5" t="s">
        <v>20</v>
      </c>
    </row>
    <row r="32" spans="1:8" ht="30" x14ac:dyDescent="0.25">
      <c r="A32" s="5">
        <v>31</v>
      </c>
      <c r="B32" s="5" t="str">
        <f>"STATIM-"&amp;C32&amp;"-"&amp;D32&amp;"-"&amp;TEXT(COUNTIFS($C$2:C32,C32,$D$2:D32,D32),"000")</f>
        <v>STATIM-UW-Motor-031</v>
      </c>
      <c r="C32" s="5" t="s">
        <v>8</v>
      </c>
      <c r="D32" s="5" t="s">
        <v>9</v>
      </c>
      <c r="E32" s="5" t="s">
        <v>17</v>
      </c>
      <c r="F32" s="5" t="s">
        <v>72</v>
      </c>
      <c r="G32" s="7" t="s">
        <v>73</v>
      </c>
      <c r="H32" s="5" t="s">
        <v>13</v>
      </c>
    </row>
    <row r="33" spans="1:8" x14ac:dyDescent="0.25">
      <c r="A33" s="5">
        <v>32</v>
      </c>
      <c r="B33" s="5" t="str">
        <f>"STATIM-"&amp;C33&amp;"-"&amp;D33&amp;"-"&amp;TEXT(COUNTIFS($C$2:C33,C33,$D$2:D33,D33),"000")</f>
        <v>STATIM-UW-Motor-032</v>
      </c>
      <c r="C33" s="5" t="s">
        <v>8</v>
      </c>
      <c r="D33" s="5" t="s">
        <v>9</v>
      </c>
      <c r="E33" s="5" t="s">
        <v>17</v>
      </c>
      <c r="F33" s="5" t="s">
        <v>74</v>
      </c>
      <c r="G33" s="7" t="s">
        <v>75</v>
      </c>
      <c r="H33" s="14" t="s">
        <v>13</v>
      </c>
    </row>
    <row r="34" spans="1:8" ht="30" x14ac:dyDescent="0.25">
      <c r="A34" s="5">
        <v>33</v>
      </c>
      <c r="B34" s="5" t="str">
        <f>"STATIM-"&amp;C34&amp;"-"&amp;D34&amp;"-"&amp;TEXT(COUNTIFS($C$2:C34,C34,$D$2:D34,D34),"000")</f>
        <v>STATIM-UW-Motor-033</v>
      </c>
      <c r="C34" s="5" t="s">
        <v>8</v>
      </c>
      <c r="D34" s="5" t="s">
        <v>9</v>
      </c>
      <c r="E34" s="5" t="s">
        <v>17</v>
      </c>
      <c r="F34" s="5" t="s">
        <v>74</v>
      </c>
      <c r="G34" s="7" t="s">
        <v>76</v>
      </c>
      <c r="H34" s="14" t="s">
        <v>13</v>
      </c>
    </row>
    <row r="35" spans="1:8" ht="150" x14ac:dyDescent="0.25">
      <c r="A35" s="5">
        <v>34</v>
      </c>
      <c r="B35" s="5" t="str">
        <f>"STATIM-"&amp;C35&amp;"-"&amp;D35&amp;"-"&amp;TEXT(COUNTIFS($C$2:C35,C35,$D$2:D35,D35),"000")</f>
        <v>STATIM-UW-Motor-034</v>
      </c>
      <c r="C35" s="5" t="s">
        <v>8</v>
      </c>
      <c r="D35" s="5" t="s">
        <v>9</v>
      </c>
      <c r="E35" s="5" t="s">
        <v>77</v>
      </c>
      <c r="F35" s="5" t="s">
        <v>28</v>
      </c>
      <c r="G35" s="9" t="s">
        <v>78</v>
      </c>
      <c r="H35" s="5" t="s">
        <v>30</v>
      </c>
    </row>
    <row r="36" spans="1:8" x14ac:dyDescent="0.25">
      <c r="A36" s="5">
        <v>35</v>
      </c>
      <c r="B36" s="5" t="str">
        <f>"STATIM-"&amp;C36&amp;"-"&amp;D36&amp;"-"&amp;TEXT(COUNTIFS($C$2:C36,C36,$D$2:D36,D36),"000")</f>
        <v>STATIM-UW-Motor-035</v>
      </c>
      <c r="C36" s="5" t="s">
        <v>8</v>
      </c>
      <c r="D36" s="5" t="s">
        <v>9</v>
      </c>
      <c r="E36" s="5" t="s">
        <v>17</v>
      </c>
      <c r="F36" s="5" t="s">
        <v>79</v>
      </c>
      <c r="G36" s="7" t="s">
        <v>80</v>
      </c>
      <c r="H36" s="5" t="s">
        <v>13</v>
      </c>
    </row>
    <row r="37" spans="1:8" ht="75" x14ac:dyDescent="0.25">
      <c r="A37" s="5">
        <v>36</v>
      </c>
      <c r="B37" s="5" t="str">
        <f>"STATIM-"&amp;C37&amp;"-"&amp;D37&amp;"-"&amp;TEXT(COUNTIFS($C$2:C37,C37,$D$2:D37,D37),"000")</f>
        <v>STATIM-UW-Motor-036</v>
      </c>
      <c r="C37" s="5" t="s">
        <v>8</v>
      </c>
      <c r="D37" s="5" t="s">
        <v>9</v>
      </c>
      <c r="E37" s="5" t="s">
        <v>17</v>
      </c>
      <c r="F37" s="5" t="s">
        <v>79</v>
      </c>
      <c r="G37" s="7" t="s">
        <v>81</v>
      </c>
      <c r="H37" s="5" t="s">
        <v>13</v>
      </c>
    </row>
    <row r="38" spans="1:8" ht="30" x14ac:dyDescent="0.25">
      <c r="A38" s="5">
        <v>37</v>
      </c>
      <c r="B38" s="5" t="str">
        <f>"STATIM-"&amp;C38&amp;"-"&amp;D38&amp;"-"&amp;TEXT(COUNTIFS($C$2:C38,C38,$D$2:D38,D38),"000")</f>
        <v>STATIM-UW-Motor-037</v>
      </c>
      <c r="C38" s="5" t="s">
        <v>8</v>
      </c>
      <c r="D38" s="5" t="s">
        <v>9</v>
      </c>
      <c r="E38" s="5" t="s">
        <v>17</v>
      </c>
      <c r="F38" s="5" t="s">
        <v>79</v>
      </c>
      <c r="G38" s="7" t="s">
        <v>82</v>
      </c>
      <c r="H38" s="14" t="s">
        <v>13</v>
      </c>
    </row>
    <row r="39" spans="1:8" ht="30" x14ac:dyDescent="0.25">
      <c r="A39" s="5">
        <v>38</v>
      </c>
      <c r="B39" s="5" t="str">
        <f>"STATIM-"&amp;C39&amp;"-"&amp;D39&amp;"-"&amp;TEXT(COUNTIFS($C$2:C39,C39,$D$2:D39,D39),"000")</f>
        <v>STATIM-UW-Motor-038</v>
      </c>
      <c r="C39" s="5" t="s">
        <v>8</v>
      </c>
      <c r="D39" s="5" t="s">
        <v>9</v>
      </c>
      <c r="E39" s="5" t="s">
        <v>17</v>
      </c>
      <c r="F39" s="5" t="s">
        <v>83</v>
      </c>
      <c r="G39" s="7" t="s">
        <v>84</v>
      </c>
      <c r="H39" s="5" t="s">
        <v>13</v>
      </c>
    </row>
    <row r="40" spans="1:8" ht="75" x14ac:dyDescent="0.25">
      <c r="A40" s="5">
        <v>39</v>
      </c>
      <c r="B40" s="5" t="str">
        <f>"STATIM-"&amp;C40&amp;"-"&amp;D40&amp;"-"&amp;TEXT(COUNTIFS($C$2:C40,C40,$D$2:D40,D40),"000")</f>
        <v>STATIM-UW-Motor-039</v>
      </c>
      <c r="C40" s="5" t="s">
        <v>8</v>
      </c>
      <c r="D40" s="5" t="s">
        <v>9</v>
      </c>
      <c r="E40" s="5" t="s">
        <v>17</v>
      </c>
      <c r="F40" s="5" t="s">
        <v>79</v>
      </c>
      <c r="G40" s="7" t="s">
        <v>85</v>
      </c>
      <c r="H40" s="5" t="s">
        <v>13</v>
      </c>
    </row>
    <row r="41" spans="1:8" ht="45" x14ac:dyDescent="0.25">
      <c r="A41" s="5">
        <v>40</v>
      </c>
      <c r="B41" s="5" t="str">
        <f>"STATIM-"&amp;C41&amp;"-"&amp;D41&amp;"-"&amp;TEXT(COUNTIFS($C$2:C41,C41,$D$2:D41,D41),"000")</f>
        <v>STATIM-UW-Motor-040</v>
      </c>
      <c r="C41" s="5" t="s">
        <v>8</v>
      </c>
      <c r="D41" s="5" t="s">
        <v>9</v>
      </c>
      <c r="E41" s="5" t="s">
        <v>17</v>
      </c>
      <c r="F41" s="5" t="s">
        <v>86</v>
      </c>
      <c r="G41" s="7" t="s">
        <v>87</v>
      </c>
      <c r="H41" s="5" t="s">
        <v>13</v>
      </c>
    </row>
    <row r="42" spans="1:8" ht="30" x14ac:dyDescent="0.25">
      <c r="A42" s="5">
        <v>41</v>
      </c>
      <c r="B42" s="5" t="str">
        <f>"STATIM-"&amp;C42&amp;"-"&amp;D42&amp;"-"&amp;TEXT(COUNTIFS($C$2:C42,C42,$D$2:D42,D42),"000")</f>
        <v>STATIM-UW-Motor-041</v>
      </c>
      <c r="C42" s="5" t="s">
        <v>8</v>
      </c>
      <c r="D42" s="5" t="s">
        <v>9</v>
      </c>
      <c r="E42" s="5" t="s">
        <v>88</v>
      </c>
      <c r="F42" s="5" t="s">
        <v>86</v>
      </c>
      <c r="G42" s="7" t="s">
        <v>89</v>
      </c>
      <c r="H42" s="5" t="s">
        <v>20</v>
      </c>
    </row>
    <row r="43" spans="1:8" ht="30" x14ac:dyDescent="0.25">
      <c r="A43" s="5">
        <v>42</v>
      </c>
      <c r="B43" s="5" t="str">
        <f>"STATIM-"&amp;C43&amp;"-"&amp;D43&amp;"-"&amp;TEXT(COUNTIFS($C$2:C43,C43,$D$2:D43,D43),"000")</f>
        <v>STATIM-UW-Motor-042</v>
      </c>
      <c r="C43" s="5" t="s">
        <v>8</v>
      </c>
      <c r="D43" s="5" t="s">
        <v>9</v>
      </c>
      <c r="E43" s="5" t="s">
        <v>17</v>
      </c>
      <c r="F43" s="5" t="s">
        <v>90</v>
      </c>
      <c r="G43" s="7" t="s">
        <v>91</v>
      </c>
      <c r="H43" s="5" t="s">
        <v>13</v>
      </c>
    </row>
    <row r="44" spans="1:8" ht="30" x14ac:dyDescent="0.25">
      <c r="A44" s="5">
        <v>43</v>
      </c>
      <c r="B44" s="5" t="str">
        <f>"STATIM-"&amp;C44&amp;"-"&amp;D44&amp;"-"&amp;TEXT(COUNTIFS($C$2:C44,C44,$D$2:D44,D44),"000")</f>
        <v>STATIM-UW-Motor-043</v>
      </c>
      <c r="C44" s="5" t="s">
        <v>8</v>
      </c>
      <c r="D44" s="5" t="s">
        <v>9</v>
      </c>
      <c r="E44" s="5" t="s">
        <v>17</v>
      </c>
      <c r="F44" s="5" t="s">
        <v>90</v>
      </c>
      <c r="G44" s="7" t="s">
        <v>92</v>
      </c>
      <c r="H44" s="5" t="s">
        <v>64</v>
      </c>
    </row>
    <row r="45" spans="1:8" x14ac:dyDescent="0.25">
      <c r="A45" s="5">
        <v>44</v>
      </c>
      <c r="B45" s="5" t="str">
        <f>"STATIM-"&amp;C45&amp;"-"&amp;D45&amp;"-"&amp;TEXT(COUNTIFS($C$2:C45,C45,$D$2:D45,D45),"000")</f>
        <v>STATIM-UW-Motor-044</v>
      </c>
      <c r="C45" s="5" t="s">
        <v>8</v>
      </c>
      <c r="D45" s="5" t="s">
        <v>9</v>
      </c>
      <c r="E45" s="5" t="s">
        <v>17</v>
      </c>
      <c r="F45" s="5" t="s">
        <v>60</v>
      </c>
      <c r="G45" s="8" t="s">
        <v>94</v>
      </c>
      <c r="H45" s="5" t="s">
        <v>43</v>
      </c>
    </row>
    <row r="46" spans="1:8" x14ac:dyDescent="0.25">
      <c r="A46" s="5">
        <v>45</v>
      </c>
      <c r="B46" s="5" t="str">
        <f>"STATIM-"&amp;C46&amp;"-"&amp;D46&amp;"-"&amp;TEXT(COUNTIFS($C$2:C46,C46,$D$2:D46,D46),"000")</f>
        <v>STATIM-Claims-Motor-001</v>
      </c>
      <c r="C46" s="5" t="s">
        <v>95</v>
      </c>
      <c r="D46" s="5" t="s">
        <v>9</v>
      </c>
      <c r="E46" s="5" t="s">
        <v>95</v>
      </c>
      <c r="F46" s="5" t="s">
        <v>96</v>
      </c>
      <c r="G46" s="7" t="s">
        <v>97</v>
      </c>
      <c r="H46" s="5" t="s">
        <v>20</v>
      </c>
    </row>
    <row r="47" spans="1:8" x14ac:dyDescent="0.25">
      <c r="A47" s="5">
        <v>46</v>
      </c>
      <c r="B47" s="5" t="str">
        <f>"STATIM-"&amp;C47&amp;"-"&amp;D47&amp;"-"&amp;TEXT(COUNTIFS($C$2:C47,C47,$D$2:D47,D47),"000")</f>
        <v>STATIM-Claims-Motor-002</v>
      </c>
      <c r="C47" s="5" t="s">
        <v>95</v>
      </c>
      <c r="D47" s="5" t="s">
        <v>9</v>
      </c>
      <c r="E47" s="5" t="s">
        <v>95</v>
      </c>
      <c r="F47" s="5" t="s">
        <v>96</v>
      </c>
      <c r="G47" s="7" t="s">
        <v>98</v>
      </c>
      <c r="H47" s="5" t="s">
        <v>20</v>
      </c>
    </row>
    <row r="48" spans="1:8" ht="105" x14ac:dyDescent="0.25">
      <c r="A48" s="5">
        <v>47</v>
      </c>
      <c r="B48" s="5" t="str">
        <f>"STATIM-"&amp;C48&amp;"-"&amp;D48&amp;"-"&amp;TEXT(COUNTIFS($C$2:C48,C48,$D$2:D48,D48),"000")</f>
        <v>STATIM-Claims-Motor-003</v>
      </c>
      <c r="C48" s="5" t="s">
        <v>95</v>
      </c>
      <c r="D48" s="5" t="s">
        <v>9</v>
      </c>
      <c r="E48" s="5" t="s">
        <v>95</v>
      </c>
      <c r="F48" s="5" t="s">
        <v>96</v>
      </c>
      <c r="G48" s="7" t="s">
        <v>99</v>
      </c>
      <c r="H48" s="5" t="s">
        <v>20</v>
      </c>
    </row>
    <row r="49" spans="1:8" ht="30" x14ac:dyDescent="0.25">
      <c r="A49" s="5">
        <v>48</v>
      </c>
      <c r="B49" s="5" t="str">
        <f>"STATIM-"&amp;C49&amp;"-"&amp;D49&amp;"-"&amp;TEXT(COUNTIFS($C$2:C49,C49,$D$2:D49,D49),"000")</f>
        <v>STATIM-Claims-Motor-004</v>
      </c>
      <c r="C49" s="5" t="s">
        <v>95</v>
      </c>
      <c r="D49" s="5" t="s">
        <v>9</v>
      </c>
      <c r="E49" s="5" t="s">
        <v>95</v>
      </c>
      <c r="F49" s="5" t="s">
        <v>100</v>
      </c>
      <c r="G49" s="7" t="s">
        <v>101</v>
      </c>
      <c r="H49" s="5" t="s">
        <v>30</v>
      </c>
    </row>
    <row r="50" spans="1:8" x14ac:dyDescent="0.25">
      <c r="A50" s="5">
        <v>49</v>
      </c>
      <c r="B50" s="5" t="str">
        <f>"STATIM-"&amp;C50&amp;"-"&amp;D50&amp;"-"&amp;TEXT(COUNTIFS($C$2:C50,C50,$D$2:D50,D50),"000")</f>
        <v>STATIM-Claims-Motor-005</v>
      </c>
      <c r="C50" s="5" t="s">
        <v>95</v>
      </c>
      <c r="D50" s="5" t="s">
        <v>9</v>
      </c>
      <c r="E50" s="5" t="s">
        <v>95</v>
      </c>
      <c r="F50" s="12" t="s">
        <v>102</v>
      </c>
      <c r="G50" s="7" t="s">
        <v>103</v>
      </c>
      <c r="H50" s="5" t="s">
        <v>43</v>
      </c>
    </row>
    <row r="51" spans="1:8" ht="240" x14ac:dyDescent="0.25">
      <c r="A51" s="5">
        <v>50</v>
      </c>
      <c r="B51" s="5" t="str">
        <f>"STATIM-"&amp;C51&amp;"-"&amp;D51&amp;"-"&amp;TEXT(COUNTIFS($C$2:C51,C51,$D$2:D51,D51),"000")</f>
        <v>STATIM-Claims-Motor-006</v>
      </c>
      <c r="C51" s="5" t="s">
        <v>95</v>
      </c>
      <c r="D51" s="5" t="s">
        <v>9</v>
      </c>
      <c r="E51" s="5" t="s">
        <v>95</v>
      </c>
      <c r="F51" s="5" t="s">
        <v>104</v>
      </c>
      <c r="G51" s="7" t="s">
        <v>105</v>
      </c>
      <c r="H51" s="5" t="s">
        <v>20</v>
      </c>
    </row>
    <row r="52" spans="1:8" ht="30" x14ac:dyDescent="0.25">
      <c r="A52" s="5">
        <v>51</v>
      </c>
      <c r="B52" s="5" t="str">
        <f>"STATIM-"&amp;C52&amp;"-"&amp;D52&amp;"-"&amp;TEXT(COUNTIFS($C$2:C52,C52,$D$2:D52,D52),"000")</f>
        <v>STATIM-Claims-Motor-007</v>
      </c>
      <c r="C52" s="5" t="s">
        <v>95</v>
      </c>
      <c r="D52" s="5" t="s">
        <v>9</v>
      </c>
      <c r="E52" s="5" t="s">
        <v>95</v>
      </c>
      <c r="F52" s="5" t="s">
        <v>106</v>
      </c>
      <c r="G52" s="13" t="s">
        <v>107</v>
      </c>
      <c r="H52" s="5" t="s">
        <v>43</v>
      </c>
    </row>
    <row r="53" spans="1:8" ht="75" x14ac:dyDescent="0.25">
      <c r="A53" s="5">
        <v>52</v>
      </c>
      <c r="B53" s="5" t="str">
        <f>"STATIM-"&amp;C53&amp;"-"&amp;D53&amp;"-"&amp;TEXT(COUNTIFS($C$2:C53,C53,$D$2:D53,D53),"000")</f>
        <v>STATIM-Claims-Motor-008</v>
      </c>
      <c r="C53" s="5" t="s">
        <v>95</v>
      </c>
      <c r="D53" s="5" t="s">
        <v>9</v>
      </c>
      <c r="E53" s="5" t="s">
        <v>95</v>
      </c>
      <c r="F53" s="5" t="s">
        <v>106</v>
      </c>
      <c r="G53" s="7" t="s">
        <v>108</v>
      </c>
      <c r="H53" s="5" t="s">
        <v>43</v>
      </c>
    </row>
    <row r="54" spans="1:8" ht="45" x14ac:dyDescent="0.25">
      <c r="A54" s="5">
        <v>53</v>
      </c>
      <c r="B54" s="5" t="str">
        <f>"STATIM-"&amp;C54&amp;"-"&amp;D54&amp;"-"&amp;TEXT(COUNTIFS($C$2:C54,C54,$D$2:D54,D54),"000")</f>
        <v>STATIM-Claims-Motor-009</v>
      </c>
      <c r="C54" s="5" t="s">
        <v>95</v>
      </c>
      <c r="D54" s="5" t="s">
        <v>9</v>
      </c>
      <c r="E54" s="5" t="s">
        <v>95</v>
      </c>
      <c r="F54" s="5" t="s">
        <v>109</v>
      </c>
      <c r="G54" s="7" t="s">
        <v>110</v>
      </c>
      <c r="H54" s="5" t="s">
        <v>13</v>
      </c>
    </row>
    <row r="55" spans="1:8" ht="135" x14ac:dyDescent="0.25">
      <c r="A55" s="5">
        <v>54</v>
      </c>
      <c r="B55" s="5" t="str">
        <f>"STATIM-"&amp;C55&amp;"-"&amp;D55&amp;"-"&amp;TEXT(COUNTIFS($C$2:C55,C55,$D$2:D55,D55),"000")</f>
        <v>STATIM-Claims-Motor-010</v>
      </c>
      <c r="C55" s="5" t="s">
        <v>95</v>
      </c>
      <c r="D55" s="5" t="s">
        <v>9</v>
      </c>
      <c r="E55" s="5" t="s">
        <v>95</v>
      </c>
      <c r="F55" s="5" t="s">
        <v>111</v>
      </c>
      <c r="G55" s="7" t="s">
        <v>112</v>
      </c>
      <c r="H55" s="5" t="s">
        <v>43</v>
      </c>
    </row>
    <row r="56" spans="1:8" ht="60" x14ac:dyDescent="0.25">
      <c r="A56" s="5">
        <v>55</v>
      </c>
      <c r="B56" s="5" t="str">
        <f>"STATIM-"&amp;C56&amp;"-"&amp;D56&amp;"-"&amp;TEXT(COUNTIFS($C$2:C56,C56,$D$2:D56,D56),"000")</f>
        <v>STATIM-Claims-Motor-011</v>
      </c>
      <c r="C56" s="5" t="s">
        <v>95</v>
      </c>
      <c r="D56" s="5" t="s">
        <v>9</v>
      </c>
      <c r="E56" s="5" t="s">
        <v>95</v>
      </c>
      <c r="F56" s="5" t="s">
        <v>53</v>
      </c>
      <c r="G56" s="7" t="s">
        <v>113</v>
      </c>
      <c r="H56" s="5" t="s">
        <v>43</v>
      </c>
    </row>
    <row r="57" spans="1:8" ht="60" x14ac:dyDescent="0.25">
      <c r="A57" s="5">
        <v>56</v>
      </c>
      <c r="B57" s="5" t="str">
        <f>"STATIM-"&amp;C57&amp;"-"&amp;D57&amp;"-"&amp;TEXT(COUNTIFS($C$2:C57,C57,$D$2:D57,D57),"000")</f>
        <v>STATIM-Claims-Motor-012</v>
      </c>
      <c r="C57" s="5" t="s">
        <v>95</v>
      </c>
      <c r="D57" s="5" t="s">
        <v>9</v>
      </c>
      <c r="E57" s="5" t="s">
        <v>95</v>
      </c>
      <c r="F57" s="5" t="s">
        <v>111</v>
      </c>
      <c r="G57" s="7" t="s">
        <v>114</v>
      </c>
      <c r="H57" s="14" t="s">
        <v>43</v>
      </c>
    </row>
    <row r="58" spans="1:8" ht="180" x14ac:dyDescent="0.25">
      <c r="A58" s="5">
        <v>57</v>
      </c>
      <c r="B58" s="5" t="str">
        <f>"STATIM-"&amp;C58&amp;"-"&amp;D58&amp;"-"&amp;TEXT(COUNTIFS($C$2:C58,C58,$D$2:D58,D58),"000")</f>
        <v>STATIM-Claims-Motor-013</v>
      </c>
      <c r="C58" s="5" t="s">
        <v>95</v>
      </c>
      <c r="D58" s="5" t="s">
        <v>9</v>
      </c>
      <c r="E58" s="5" t="s">
        <v>95</v>
      </c>
      <c r="F58" s="5" t="s">
        <v>115</v>
      </c>
      <c r="G58" s="7" t="s">
        <v>116</v>
      </c>
      <c r="H58" s="5" t="s">
        <v>43</v>
      </c>
    </row>
    <row r="59" spans="1:8" x14ac:dyDescent="0.25">
      <c r="A59" s="5">
        <v>58</v>
      </c>
      <c r="B59" s="5" t="str">
        <f>"STATIM-"&amp;C59&amp;"-"&amp;D59&amp;"-"&amp;TEXT(COUNTIFS($C$2:C59,C59,$D$2:D59,D59),"000")</f>
        <v>STATIM-Claims-Motor-014</v>
      </c>
      <c r="C59" s="5" t="s">
        <v>95</v>
      </c>
      <c r="D59" s="5" t="s">
        <v>9</v>
      </c>
      <c r="E59" s="5" t="s">
        <v>95</v>
      </c>
      <c r="F59" s="5" t="s">
        <v>117</v>
      </c>
      <c r="G59" s="7" t="s">
        <v>118</v>
      </c>
      <c r="H59" s="5" t="s">
        <v>20</v>
      </c>
    </row>
    <row r="60" spans="1:8" ht="30" x14ac:dyDescent="0.25">
      <c r="A60" s="5">
        <v>59</v>
      </c>
      <c r="B60" s="5" t="str">
        <f>"STATIM-"&amp;C60&amp;"-"&amp;D60&amp;"-"&amp;TEXT(COUNTIFS($C$2:C60,C60,$D$2:D60,D60),"000")</f>
        <v>STATIM-Claims-Motor-015</v>
      </c>
      <c r="C60" s="5" t="s">
        <v>95</v>
      </c>
      <c r="D60" s="5" t="s">
        <v>9</v>
      </c>
      <c r="E60" s="5" t="s">
        <v>95</v>
      </c>
      <c r="F60" s="5" t="s">
        <v>111</v>
      </c>
      <c r="G60" s="9" t="s">
        <v>119</v>
      </c>
      <c r="H60" s="5" t="s">
        <v>13</v>
      </c>
    </row>
    <row r="61" spans="1:8" ht="30" x14ac:dyDescent="0.25">
      <c r="A61" s="5">
        <v>60</v>
      </c>
      <c r="B61" s="5" t="str">
        <f>"STATIM-"&amp;C61&amp;"-"&amp;D61&amp;"-"&amp;TEXT(COUNTIFS($C$2:C61,C61,$D$2:D61,D61),"000")</f>
        <v>STATIM-Claims-Motor-016</v>
      </c>
      <c r="C61" s="5" t="s">
        <v>95</v>
      </c>
      <c r="D61" s="5" t="s">
        <v>9</v>
      </c>
      <c r="E61" s="5" t="s">
        <v>95</v>
      </c>
      <c r="F61" s="5" t="s">
        <v>120</v>
      </c>
      <c r="G61" s="13" t="s">
        <v>121</v>
      </c>
      <c r="H61" s="5" t="s">
        <v>20</v>
      </c>
    </row>
    <row r="62" spans="1:8" x14ac:dyDescent="0.25">
      <c r="A62" s="5">
        <v>61</v>
      </c>
      <c r="B62" s="5" t="str">
        <f>"STATIM-"&amp;C62&amp;"-"&amp;D62&amp;"-"&amp;TEXT(COUNTIFS($C$2:C62,C62,$D$2:D62,D62),"000")</f>
        <v>STATIM-Claims-Motor-017</v>
      </c>
      <c r="C62" s="5" t="s">
        <v>95</v>
      </c>
      <c r="D62" s="5" t="s">
        <v>9</v>
      </c>
      <c r="E62" s="5" t="s">
        <v>95</v>
      </c>
      <c r="F62" s="5" t="s">
        <v>122</v>
      </c>
      <c r="G62" s="7" t="s">
        <v>123</v>
      </c>
      <c r="H62" s="5" t="s">
        <v>13</v>
      </c>
    </row>
    <row r="63" spans="1:8" x14ac:dyDescent="0.25">
      <c r="A63" s="5">
        <v>62</v>
      </c>
      <c r="B63" s="5" t="str">
        <f>"STATIM-"&amp;C63&amp;"-"&amp;D63&amp;"-"&amp;TEXT(COUNTIFS($C$2:C63,C63,$D$2:D63,D63),"000")</f>
        <v>STATIM-Claims-Motor-018</v>
      </c>
      <c r="C63" s="5" t="s">
        <v>95</v>
      </c>
      <c r="D63" s="5" t="s">
        <v>9</v>
      </c>
      <c r="E63" s="5" t="s">
        <v>95</v>
      </c>
      <c r="F63" s="5" t="s">
        <v>111</v>
      </c>
      <c r="G63" s="7" t="s">
        <v>124</v>
      </c>
      <c r="H63" s="5" t="s">
        <v>13</v>
      </c>
    </row>
    <row r="64" spans="1:8" ht="45" x14ac:dyDescent="0.25">
      <c r="A64" s="5">
        <v>63</v>
      </c>
      <c r="B64" s="5" t="str">
        <f>"STATIM-"&amp;C64&amp;"-"&amp;D64&amp;"-"&amp;TEXT(COUNTIFS($C$2:C64,C64,$D$2:D64,D64),"000")</f>
        <v>STATIM-Claims-Motor-019</v>
      </c>
      <c r="C64" s="5" t="s">
        <v>95</v>
      </c>
      <c r="D64" s="5" t="s">
        <v>9</v>
      </c>
      <c r="E64" s="5" t="s">
        <v>95</v>
      </c>
      <c r="F64" s="5" t="s">
        <v>125</v>
      </c>
      <c r="G64" s="13" t="s">
        <v>126</v>
      </c>
      <c r="H64" s="5" t="s">
        <v>43</v>
      </c>
    </row>
    <row r="65" spans="1:8" ht="45" x14ac:dyDescent="0.25">
      <c r="A65" s="5">
        <v>64</v>
      </c>
      <c r="B65" s="5" t="str">
        <f>"STATIM-"&amp;C65&amp;"-"&amp;D65&amp;"-"&amp;TEXT(COUNTIFS($C$2:C65,C65,$D$2:D65,D65),"000")</f>
        <v>STATIM-Claims-Motor-020</v>
      </c>
      <c r="C65" s="5" t="s">
        <v>95</v>
      </c>
      <c r="D65" s="5" t="s">
        <v>9</v>
      </c>
      <c r="E65" s="5" t="s">
        <v>95</v>
      </c>
      <c r="F65" s="5" t="s">
        <v>127</v>
      </c>
      <c r="G65" s="7" t="s">
        <v>128</v>
      </c>
      <c r="H65" s="5" t="s">
        <v>20</v>
      </c>
    </row>
    <row r="66" spans="1:8" ht="135" x14ac:dyDescent="0.25">
      <c r="A66" s="5">
        <v>65</v>
      </c>
      <c r="B66" s="5" t="str">
        <f>"STATIM-"&amp;C66&amp;"-"&amp;D66&amp;"-"&amp;TEXT(COUNTIFS($C$2:C66,C66,$D$2:D66,D66),"000")</f>
        <v>STATIM-Claims-Motor-021</v>
      </c>
      <c r="C66" s="5" t="s">
        <v>95</v>
      </c>
      <c r="D66" s="5" t="s">
        <v>9</v>
      </c>
      <c r="E66" s="5" t="s">
        <v>95</v>
      </c>
      <c r="F66" s="5" t="s">
        <v>129</v>
      </c>
      <c r="G66" s="13" t="s">
        <v>130</v>
      </c>
      <c r="H66" s="5" t="s">
        <v>13</v>
      </c>
    </row>
    <row r="67" spans="1:8" ht="105" x14ac:dyDescent="0.25">
      <c r="A67" s="5">
        <v>66</v>
      </c>
      <c r="B67" s="5" t="str">
        <f>"STATIM-"&amp;C67&amp;"-"&amp;D67&amp;"-"&amp;TEXT(COUNTIFS($C$2:C67,C67,$D$2:D67,D67),"000")</f>
        <v>STATIM-Claims-Motor-022</v>
      </c>
      <c r="C67" s="5" t="s">
        <v>95</v>
      </c>
      <c r="D67" s="5" t="s">
        <v>9</v>
      </c>
      <c r="E67" s="5" t="s">
        <v>95</v>
      </c>
      <c r="F67" s="5" t="s">
        <v>131</v>
      </c>
      <c r="G67" s="9" t="s">
        <v>132</v>
      </c>
      <c r="H67" s="14" t="s">
        <v>43</v>
      </c>
    </row>
    <row r="68" spans="1:8" ht="45" x14ac:dyDescent="0.25">
      <c r="A68" s="5">
        <v>67</v>
      </c>
      <c r="B68" s="5" t="str">
        <f>"STATIM-"&amp;C68&amp;"-"&amp;D68&amp;"-"&amp;TEXT(COUNTIFS($C$2:C68,C68,$D$2:D68,D68),"000")</f>
        <v>STATIM-Claims-Motor-023</v>
      </c>
      <c r="C68" s="5" t="s">
        <v>95</v>
      </c>
      <c r="D68" s="5" t="s">
        <v>9</v>
      </c>
      <c r="E68" s="5" t="s">
        <v>95</v>
      </c>
      <c r="F68" s="5" t="s">
        <v>133</v>
      </c>
      <c r="G68" s="4" t="s">
        <v>134</v>
      </c>
      <c r="H68" s="12" t="s">
        <v>43</v>
      </c>
    </row>
    <row r="69" spans="1:8" ht="60" x14ac:dyDescent="0.25">
      <c r="A69" s="5">
        <v>68</v>
      </c>
      <c r="B69" s="5" t="str">
        <f>"STATIM-"&amp;C69&amp;"-"&amp;D69&amp;"-"&amp;TEXT(COUNTIFS($C$2:C69,C69,$D$2:D69,D69),"000")</f>
        <v>STATIM-Claims-Motor-024</v>
      </c>
      <c r="C69" s="5" t="s">
        <v>95</v>
      </c>
      <c r="D69" s="5" t="s">
        <v>9</v>
      </c>
      <c r="E69" s="5" t="s">
        <v>95</v>
      </c>
      <c r="F69" s="5" t="s">
        <v>135</v>
      </c>
      <c r="G69" s="9" t="s">
        <v>136</v>
      </c>
      <c r="H69" s="5" t="s">
        <v>43</v>
      </c>
    </row>
    <row r="70" spans="1:8" x14ac:dyDescent="0.25">
      <c r="A70" s="5">
        <v>69</v>
      </c>
      <c r="B70" s="5" t="str">
        <f>"STATIM-"&amp;C70&amp;"-"&amp;D70&amp;"-"&amp;TEXT(COUNTIFS($C$2:C70,C70,$D$2:D70,D70),"000")</f>
        <v>STATIM-Claims-Motor-025</v>
      </c>
      <c r="C70" s="5" t="s">
        <v>95</v>
      </c>
      <c r="D70" s="5" t="s">
        <v>9</v>
      </c>
      <c r="E70" s="5" t="s">
        <v>95</v>
      </c>
      <c r="F70" s="5" t="s">
        <v>137</v>
      </c>
      <c r="G70" s="7" t="s">
        <v>138</v>
      </c>
      <c r="H70" s="5" t="s">
        <v>20</v>
      </c>
    </row>
    <row r="71" spans="1:8" ht="75" x14ac:dyDescent="0.25">
      <c r="A71" s="5">
        <v>70</v>
      </c>
      <c r="B71" s="5" t="str">
        <f>"STATIM-"&amp;C71&amp;"-"&amp;D71&amp;"-"&amp;TEXT(COUNTIFS($C$2:C71,C71,$D$2:D71,D71),"000")</f>
        <v>STATIM-Claims-Motor-026</v>
      </c>
      <c r="C71" s="5" t="s">
        <v>95</v>
      </c>
      <c r="D71" s="5" t="s">
        <v>9</v>
      </c>
      <c r="E71" s="5" t="s">
        <v>95</v>
      </c>
      <c r="F71" s="5" t="s">
        <v>139</v>
      </c>
      <c r="G71" s="7" t="s">
        <v>140</v>
      </c>
      <c r="H71" s="5" t="s">
        <v>20</v>
      </c>
    </row>
    <row r="72" spans="1:8" ht="75" x14ac:dyDescent="0.25">
      <c r="A72" s="5">
        <v>71</v>
      </c>
      <c r="B72" s="5" t="str">
        <f>"STATIM-"&amp;C72&amp;"-"&amp;D72&amp;"-"&amp;TEXT(COUNTIFS($C$2:C72,C72,$D$2:D72,D72),"000")</f>
        <v>STATIM-Claims-Motor-027</v>
      </c>
      <c r="C72" s="5" t="s">
        <v>95</v>
      </c>
      <c r="D72" s="5" t="s">
        <v>9</v>
      </c>
      <c r="E72" s="5" t="s">
        <v>95</v>
      </c>
      <c r="F72" s="5" t="s">
        <v>111</v>
      </c>
      <c r="G72" s="9" t="s">
        <v>141</v>
      </c>
      <c r="H72" s="5" t="s">
        <v>43</v>
      </c>
    </row>
    <row r="73" spans="1:8" x14ac:dyDescent="0.25">
      <c r="A73" s="5">
        <v>72</v>
      </c>
      <c r="B73" s="5" t="str">
        <f>"STATIM-"&amp;C73&amp;"-"&amp;D73&amp;"-"&amp;TEXT(COUNTIFS($C$2:C73,C73,$D$2:D73,D73),"000")</f>
        <v>STATIM-Claims-Motor-028</v>
      </c>
      <c r="C73" s="5" t="s">
        <v>95</v>
      </c>
      <c r="D73" s="5" t="s">
        <v>9</v>
      </c>
      <c r="E73" s="5" t="s">
        <v>95</v>
      </c>
      <c r="F73" s="5" t="s">
        <v>142</v>
      </c>
      <c r="G73" s="7" t="s">
        <v>143</v>
      </c>
      <c r="H73" s="5" t="s">
        <v>43</v>
      </c>
    </row>
    <row r="74" spans="1:8" x14ac:dyDescent="0.25">
      <c r="A74" s="5">
        <v>73</v>
      </c>
      <c r="B74" s="5" t="str">
        <f>"STATIM-"&amp;C74&amp;"-"&amp;D74&amp;"-"&amp;TEXT(COUNTIFS($C$2:C74,C74,$D$2:D74,D74),"000")</f>
        <v>STATIM-Claims-Motor-029</v>
      </c>
      <c r="C74" s="5" t="s">
        <v>95</v>
      </c>
      <c r="D74" s="5" t="s">
        <v>9</v>
      </c>
      <c r="E74" s="5" t="s">
        <v>95</v>
      </c>
      <c r="F74" s="5" t="s">
        <v>144</v>
      </c>
      <c r="G74" s="9" t="s">
        <v>145</v>
      </c>
      <c r="H74" s="14" t="s">
        <v>25</v>
      </c>
    </row>
    <row r="75" spans="1:8" ht="30" x14ac:dyDescent="0.25">
      <c r="A75" s="5">
        <v>74</v>
      </c>
      <c r="B75" s="5" t="str">
        <f>"STATIM-"&amp;C75&amp;"-"&amp;D75&amp;"-"&amp;TEXT(COUNTIFS($C$2:C75,C75,$D$2:D75,D75),"000")</f>
        <v>STATIM-Claims-Motor-030</v>
      </c>
      <c r="C75" s="5" t="s">
        <v>95</v>
      </c>
      <c r="D75" s="5" t="s">
        <v>9</v>
      </c>
      <c r="E75" s="5" t="s">
        <v>95</v>
      </c>
      <c r="F75" s="5" t="s">
        <v>146</v>
      </c>
      <c r="G75" s="7" t="s">
        <v>147</v>
      </c>
      <c r="H75" s="5" t="s">
        <v>13</v>
      </c>
    </row>
    <row r="76" spans="1:8" ht="45" x14ac:dyDescent="0.25">
      <c r="A76" s="5">
        <v>75</v>
      </c>
      <c r="B76" s="5" t="str">
        <f>"STATIM-"&amp;C76&amp;"-"&amp;D76&amp;"-"&amp;TEXT(COUNTIFS($C$2:C76,C76,$D$2:D76,D76),"000")</f>
        <v>STATIM-Claims-Motor-031</v>
      </c>
      <c r="C76" s="5" t="s">
        <v>95</v>
      </c>
      <c r="D76" s="5" t="s">
        <v>9</v>
      </c>
      <c r="E76" s="5" t="s">
        <v>95</v>
      </c>
      <c r="F76" s="5" t="s">
        <v>146</v>
      </c>
      <c r="G76" s="13" t="s">
        <v>148</v>
      </c>
      <c r="H76" s="5" t="s">
        <v>13</v>
      </c>
    </row>
    <row r="77" spans="1:8" ht="30" x14ac:dyDescent="0.25">
      <c r="A77" s="5">
        <v>76</v>
      </c>
      <c r="B77" s="5" t="str">
        <f>"STATIM-"&amp;C77&amp;"-"&amp;D77&amp;"-"&amp;TEXT(COUNTIFS($C$2:C77,C77,$D$2:D77,D77),"000")</f>
        <v>STATIM-Claims-Motor-032</v>
      </c>
      <c r="C77" s="5" t="s">
        <v>95</v>
      </c>
      <c r="D77" s="5" t="s">
        <v>9</v>
      </c>
      <c r="E77" s="5" t="s">
        <v>95</v>
      </c>
      <c r="F77" s="5" t="s">
        <v>149</v>
      </c>
      <c r="G77" s="13" t="s">
        <v>150</v>
      </c>
      <c r="H77" s="5" t="s">
        <v>43</v>
      </c>
    </row>
    <row r="78" spans="1:8" ht="60" x14ac:dyDescent="0.25">
      <c r="A78" s="5">
        <v>77</v>
      </c>
      <c r="B78" s="5" t="str">
        <f>"STATIM-"&amp;C78&amp;"-"&amp;D78&amp;"-"&amp;TEXT(COUNTIFS($C$2:C78,C78,$D$2:D78,D78),"000")</f>
        <v>STATIM-Claims-Motor-033</v>
      </c>
      <c r="C78" s="5" t="s">
        <v>95</v>
      </c>
      <c r="D78" s="5" t="s">
        <v>9</v>
      </c>
      <c r="E78" s="5" t="s">
        <v>95</v>
      </c>
      <c r="F78" s="5" t="s">
        <v>151</v>
      </c>
      <c r="G78" s="7" t="s">
        <v>152</v>
      </c>
      <c r="H78" s="5" t="s">
        <v>43</v>
      </c>
    </row>
    <row r="79" spans="1:8" x14ac:dyDescent="0.25">
      <c r="A79" s="5">
        <v>78</v>
      </c>
      <c r="B79" s="5" t="str">
        <f>"STATIM-"&amp;C79&amp;"-"&amp;D79&amp;"-"&amp;TEXT(COUNTIFS($C$2:C79,C79,$D$2:D79,D79),"000")</f>
        <v>STATIM-Claims-Motor-034</v>
      </c>
      <c r="C79" s="5" t="s">
        <v>95</v>
      </c>
      <c r="D79" s="5" t="s">
        <v>9</v>
      </c>
      <c r="E79" s="5" t="s">
        <v>95</v>
      </c>
      <c r="F79" s="5" t="s">
        <v>153</v>
      </c>
      <c r="G79" s="9" t="s">
        <v>154</v>
      </c>
      <c r="H79" s="5" t="s">
        <v>13</v>
      </c>
    </row>
    <row r="80" spans="1:8" ht="90" x14ac:dyDescent="0.25">
      <c r="A80" s="5">
        <v>79</v>
      </c>
      <c r="B80" s="5" t="str">
        <f>"STATIM-"&amp;C80&amp;"-"&amp;D80&amp;"-"&amp;TEXT(COUNTIFS($C$2:C80,C80,$D$2:D80,D80),"000")</f>
        <v>STATIM-Claims-Motor-035</v>
      </c>
      <c r="C80" s="5" t="s">
        <v>95</v>
      </c>
      <c r="D80" s="5" t="s">
        <v>9</v>
      </c>
      <c r="E80" s="5" t="s">
        <v>95</v>
      </c>
      <c r="F80" s="5" t="s">
        <v>155</v>
      </c>
      <c r="G80" s="7" t="s">
        <v>156</v>
      </c>
      <c r="H80" s="5" t="s">
        <v>25</v>
      </c>
    </row>
    <row r="81" spans="1:8" ht="45" x14ac:dyDescent="0.25">
      <c r="A81" s="5">
        <v>80</v>
      </c>
      <c r="B81" s="5" t="str">
        <f>"STATIM-"&amp;C81&amp;"-"&amp;D81&amp;"-"&amp;TEXT(COUNTIFS($C$2:C81,C81,$D$2:D81,D81),"000")</f>
        <v>STATIM-UW-Motor-045</v>
      </c>
      <c r="C81" s="5" t="s">
        <v>8</v>
      </c>
      <c r="D81" s="5" t="s">
        <v>9</v>
      </c>
      <c r="E81" s="5" t="s">
        <v>17</v>
      </c>
      <c r="F81" s="5" t="s">
        <v>157</v>
      </c>
      <c r="G81" s="9" t="s">
        <v>158</v>
      </c>
      <c r="H81" s="5" t="s">
        <v>13</v>
      </c>
    </row>
    <row r="82" spans="1:8" ht="120" x14ac:dyDescent="0.25">
      <c r="A82" s="5">
        <v>81</v>
      </c>
      <c r="B82" s="5" t="str">
        <f>"STATIM-"&amp;C82&amp;"-"&amp;D82&amp;"-"&amp;TEXT(COUNTIFS($C$2:C82,C82,$D$2:D82,D82),"000")</f>
        <v>STATIM-UW-General-001</v>
      </c>
      <c r="C82" s="5" t="s">
        <v>8</v>
      </c>
      <c r="D82" s="5" t="s">
        <v>159</v>
      </c>
      <c r="E82" s="5" t="s">
        <v>88</v>
      </c>
      <c r="F82" s="5" t="s">
        <v>160</v>
      </c>
      <c r="G82" s="7" t="s">
        <v>161</v>
      </c>
      <c r="H82" s="5" t="s">
        <v>43</v>
      </c>
    </row>
    <row r="83" spans="1:8" ht="165" x14ac:dyDescent="0.25">
      <c r="A83" s="5">
        <v>82</v>
      </c>
      <c r="B83" s="5" t="str">
        <f>"STATIM-"&amp;C83&amp;"-"&amp;D83&amp;"-"&amp;TEXT(COUNTIFS($C$2:C83,C83,$D$2:D83,D83),"000")</f>
        <v>STATIM-UW-General-002</v>
      </c>
      <c r="C83" s="5" t="s">
        <v>8</v>
      </c>
      <c r="D83" s="5" t="s">
        <v>159</v>
      </c>
      <c r="E83" s="5" t="s">
        <v>17</v>
      </c>
      <c r="F83" s="5" t="s">
        <v>162</v>
      </c>
      <c r="G83" s="9" t="s">
        <v>163</v>
      </c>
      <c r="H83" s="14" t="s">
        <v>43</v>
      </c>
    </row>
    <row r="84" spans="1:8" ht="105" x14ac:dyDescent="0.25">
      <c r="A84" s="5">
        <v>83</v>
      </c>
      <c r="B84" s="5" t="str">
        <f>"STATIM-"&amp;C84&amp;"-"&amp;D84&amp;"-"&amp;TEXT(COUNTIFS($C$2:C84,C84,$D$2:D84,D84),"000")</f>
        <v>STATIM-UW-General-003</v>
      </c>
      <c r="C84" s="5" t="s">
        <v>8</v>
      </c>
      <c r="D84" s="5" t="s">
        <v>159</v>
      </c>
      <c r="E84" s="5" t="s">
        <v>17</v>
      </c>
      <c r="F84" s="5" t="s">
        <v>162</v>
      </c>
      <c r="G84" s="9" t="s">
        <v>164</v>
      </c>
      <c r="H84" s="5" t="s">
        <v>20</v>
      </c>
    </row>
    <row r="85" spans="1:8" ht="240" x14ac:dyDescent="0.25">
      <c r="A85" s="5">
        <v>84</v>
      </c>
      <c r="B85" s="5" t="str">
        <f>"STATIM-"&amp;C85&amp;"-"&amp;D85&amp;"-"&amp;TEXT(COUNTIFS($C$2:C85,C85,$D$2:D85,D85),"000")</f>
        <v>STATIM-UW-General-004</v>
      </c>
      <c r="C85" s="5" t="s">
        <v>8</v>
      </c>
      <c r="D85" s="5" t="s">
        <v>159</v>
      </c>
      <c r="E85" s="5" t="s">
        <v>17</v>
      </c>
      <c r="F85" s="11" t="s">
        <v>165</v>
      </c>
      <c r="G85" s="7" t="s">
        <v>166</v>
      </c>
      <c r="H85" s="5" t="s">
        <v>13</v>
      </c>
    </row>
    <row r="86" spans="1:8" ht="120" x14ac:dyDescent="0.25">
      <c r="A86" s="5">
        <v>85</v>
      </c>
      <c r="B86" s="5" t="str">
        <f>"STATIM-"&amp;C86&amp;"-"&amp;D86&amp;"-"&amp;TEXT(COUNTIFS($C$2:C86,C86,$D$2:D86,D86),"000")</f>
        <v>STATIM-UW-General-005</v>
      </c>
      <c r="C86" s="5" t="s">
        <v>8</v>
      </c>
      <c r="D86" s="5" t="s">
        <v>159</v>
      </c>
      <c r="E86" s="5" t="s">
        <v>17</v>
      </c>
      <c r="F86" s="11" t="s">
        <v>18</v>
      </c>
      <c r="G86" s="7" t="s">
        <v>167</v>
      </c>
      <c r="H86" s="5" t="s">
        <v>20</v>
      </c>
    </row>
    <row r="87" spans="1:8" ht="60" x14ac:dyDescent="0.25">
      <c r="A87" s="5">
        <v>86</v>
      </c>
      <c r="B87" s="5" t="str">
        <f>"STATIM-"&amp;C87&amp;"-"&amp;D87&amp;"-"&amp;TEXT(COUNTIFS($C$2:C87,C87,$D$2:D87,D87),"000")</f>
        <v>STATIM-UW-General-006</v>
      </c>
      <c r="C87" s="5" t="s">
        <v>8</v>
      </c>
      <c r="D87" s="5" t="s">
        <v>159</v>
      </c>
      <c r="E87" s="5" t="s">
        <v>17</v>
      </c>
      <c r="F87" s="11" t="s">
        <v>165</v>
      </c>
      <c r="G87" s="7" t="s">
        <v>168</v>
      </c>
      <c r="H87" s="5" t="s">
        <v>13</v>
      </c>
    </row>
    <row r="88" spans="1:8" ht="30" x14ac:dyDescent="0.25">
      <c r="A88" s="5">
        <v>87</v>
      </c>
      <c r="B88" s="5" t="str">
        <f>"STATIM-"&amp;C88&amp;"-"&amp;D88&amp;"-"&amp;TEXT(COUNTIFS($C$2:C88,C88,$D$2:D88,D88),"000")</f>
        <v>STATIM-UW-General-007</v>
      </c>
      <c r="C88" s="5" t="s">
        <v>8</v>
      </c>
      <c r="D88" s="5" t="s">
        <v>159</v>
      </c>
      <c r="E88" s="5" t="s">
        <v>17</v>
      </c>
      <c r="F88" s="11" t="s">
        <v>165</v>
      </c>
      <c r="G88" s="7" t="s">
        <v>169</v>
      </c>
      <c r="H88" s="5" t="s">
        <v>20</v>
      </c>
    </row>
    <row r="89" spans="1:8" ht="300" x14ac:dyDescent="0.25">
      <c r="A89" s="5">
        <v>88</v>
      </c>
      <c r="B89" s="5" t="str">
        <f>"STATIM-"&amp;C89&amp;"-"&amp;D89&amp;"-"&amp;TEXT(COUNTIFS($C$2:C89,C89,$D$2:D89,D89),"000")</f>
        <v>STATIM-UW-General-008</v>
      </c>
      <c r="C89" s="5" t="s">
        <v>8</v>
      </c>
      <c r="D89" s="5" t="s">
        <v>159</v>
      </c>
      <c r="E89" s="5" t="s">
        <v>17</v>
      </c>
      <c r="F89" s="5" t="s">
        <v>170</v>
      </c>
      <c r="G89" s="13" t="s">
        <v>171</v>
      </c>
      <c r="H89" s="5" t="s">
        <v>20</v>
      </c>
    </row>
    <row r="90" spans="1:8" ht="60" x14ac:dyDescent="0.25">
      <c r="A90" s="5">
        <v>89</v>
      </c>
      <c r="B90" s="5" t="str">
        <f>"STATIM-"&amp;C90&amp;"-"&amp;D90&amp;"-"&amp;TEXT(COUNTIFS($C$2:C90,C90,$D$2:D90,D90),"000")</f>
        <v>STATIM-UW-General-009</v>
      </c>
      <c r="C90" s="5" t="s">
        <v>8</v>
      </c>
      <c r="D90" s="5" t="s">
        <v>159</v>
      </c>
      <c r="E90" s="5" t="s">
        <v>17</v>
      </c>
      <c r="F90" s="11" t="s">
        <v>172</v>
      </c>
      <c r="G90" s="9" t="s">
        <v>173</v>
      </c>
      <c r="H90" s="5" t="s">
        <v>43</v>
      </c>
    </row>
    <row r="91" spans="1:8" ht="60" x14ac:dyDescent="0.25">
      <c r="A91" s="5">
        <v>90</v>
      </c>
      <c r="B91" s="5" t="str">
        <f>"STATIM-"&amp;C91&amp;"-"&amp;D91&amp;"-"&amp;TEXT(COUNTIFS($C$2:C91,C91,$D$2:D91,D91),"000")</f>
        <v>STATIM-UW-General-010</v>
      </c>
      <c r="C91" s="5" t="s">
        <v>8</v>
      </c>
      <c r="D91" s="5" t="s">
        <v>159</v>
      </c>
      <c r="E91" s="5" t="s">
        <v>17</v>
      </c>
      <c r="F91" s="11" t="s">
        <v>172</v>
      </c>
      <c r="G91" s="9" t="s">
        <v>174</v>
      </c>
      <c r="H91" s="5" t="s">
        <v>43</v>
      </c>
    </row>
    <row r="92" spans="1:8" ht="30" x14ac:dyDescent="0.25">
      <c r="A92" s="5">
        <v>91</v>
      </c>
      <c r="B92" s="5" t="str">
        <f>"STATIM-"&amp;C92&amp;"-"&amp;D92&amp;"-"&amp;TEXT(COUNTIFS($C$2:C92,C92,$D$2:D92,D92),"000")</f>
        <v>STATIM-UW-General-011</v>
      </c>
      <c r="C92" s="5" t="s">
        <v>8</v>
      </c>
      <c r="D92" s="5" t="s">
        <v>159</v>
      </c>
      <c r="E92" s="5" t="s">
        <v>17</v>
      </c>
      <c r="F92" s="11" t="s">
        <v>175</v>
      </c>
      <c r="G92" s="9" t="s">
        <v>176</v>
      </c>
      <c r="H92" s="5" t="s">
        <v>43</v>
      </c>
    </row>
    <row r="93" spans="1:8" ht="120" x14ac:dyDescent="0.25">
      <c r="A93" s="5">
        <v>92</v>
      </c>
      <c r="B93" s="5" t="str">
        <f>"STATIM-"&amp;C93&amp;"-"&amp;D93&amp;"-"&amp;TEXT(COUNTIFS($C$2:C93,C93,$D$2:D93,D93),"000")</f>
        <v>STATIM-UW-General-012</v>
      </c>
      <c r="C93" s="5" t="s">
        <v>8</v>
      </c>
      <c r="D93" s="5" t="s">
        <v>159</v>
      </c>
      <c r="E93" s="5" t="s">
        <v>17</v>
      </c>
      <c r="F93" s="11" t="s">
        <v>165</v>
      </c>
      <c r="G93" s="7" t="s">
        <v>177</v>
      </c>
      <c r="H93" s="5" t="s">
        <v>13</v>
      </c>
    </row>
    <row r="94" spans="1:8" ht="255" x14ac:dyDescent="0.25">
      <c r="A94" s="5">
        <v>93</v>
      </c>
      <c r="B94" s="5" t="str">
        <f>"STATIM-"&amp;C94&amp;"-"&amp;D94&amp;"-"&amp;TEXT(COUNTIFS($C$2:C94,C94,$D$2:D94,D94),"000")</f>
        <v>STATIM-UW-General-013</v>
      </c>
      <c r="C94" s="5" t="s">
        <v>8</v>
      </c>
      <c r="D94" s="5" t="s">
        <v>159</v>
      </c>
      <c r="E94" s="5" t="s">
        <v>17</v>
      </c>
      <c r="F94" s="5" t="s">
        <v>178</v>
      </c>
      <c r="G94" s="7" t="s">
        <v>179</v>
      </c>
      <c r="H94" s="14" t="s">
        <v>13</v>
      </c>
    </row>
    <row r="95" spans="1:8" ht="105" x14ac:dyDescent="0.25">
      <c r="A95" s="5">
        <v>94</v>
      </c>
      <c r="B95" s="5" t="str">
        <f>"STATIM-"&amp;C95&amp;"-"&amp;D95&amp;"-"&amp;TEXT(COUNTIFS($C$2:C95,C95,$D$2:D95,D95),"000")</f>
        <v>STATIM-UW-General-014</v>
      </c>
      <c r="C95" s="5" t="s">
        <v>8</v>
      </c>
      <c r="D95" s="5" t="s">
        <v>159</v>
      </c>
      <c r="E95" s="5" t="s">
        <v>77</v>
      </c>
      <c r="F95" s="5" t="s">
        <v>77</v>
      </c>
      <c r="G95" s="15" t="s">
        <v>180</v>
      </c>
      <c r="H95" s="5" t="s">
        <v>13</v>
      </c>
    </row>
    <row r="96" spans="1:8" ht="270" x14ac:dyDescent="0.25">
      <c r="A96" s="5">
        <v>95</v>
      </c>
      <c r="B96" s="5" t="str">
        <f>"STATIM-"&amp;C96&amp;"-"&amp;D96&amp;"-"&amp;TEXT(COUNTIFS($C$2:C96,C96,$D$2:D96,D96),"000")</f>
        <v>STATIM-UW-General-015</v>
      </c>
      <c r="C96" s="5" t="s">
        <v>8</v>
      </c>
      <c r="D96" s="5" t="s">
        <v>159</v>
      </c>
      <c r="E96" s="5" t="s">
        <v>17</v>
      </c>
      <c r="F96" s="5" t="s">
        <v>181</v>
      </c>
      <c r="G96" s="7" t="s">
        <v>182</v>
      </c>
      <c r="H96" s="14" t="s">
        <v>30</v>
      </c>
    </row>
    <row r="97" spans="1:8" ht="120" x14ac:dyDescent="0.25">
      <c r="A97" s="5">
        <v>96</v>
      </c>
      <c r="B97" s="5" t="str">
        <f>"STATIM-"&amp;C97&amp;"-"&amp;D97&amp;"-"&amp;TEXT(COUNTIFS($C$2:C97,C97,$D$2:D97,D97),"000")</f>
        <v>STATIM-UW-General-016</v>
      </c>
      <c r="C97" s="5" t="s">
        <v>8</v>
      </c>
      <c r="D97" s="5" t="s">
        <v>159</v>
      </c>
      <c r="E97" s="5" t="s">
        <v>17</v>
      </c>
      <c r="F97" s="5" t="s">
        <v>178</v>
      </c>
      <c r="G97" s="7" t="s">
        <v>183</v>
      </c>
      <c r="H97" s="5" t="s">
        <v>43</v>
      </c>
    </row>
    <row r="98" spans="1:8" ht="150" x14ac:dyDescent="0.25">
      <c r="A98" s="5">
        <v>97</v>
      </c>
      <c r="B98" s="5" t="str">
        <f>"STATIM-"&amp;C98&amp;"-"&amp;D98&amp;"-"&amp;TEXT(COUNTIFS($C$2:C98,C98,$D$2:D98,D98),"000")</f>
        <v>STATIM-UW-General-017</v>
      </c>
      <c r="C98" s="5" t="s">
        <v>8</v>
      </c>
      <c r="D98" s="5" t="s">
        <v>159</v>
      </c>
      <c r="E98" s="5" t="s">
        <v>17</v>
      </c>
      <c r="F98" s="5" t="s">
        <v>165</v>
      </c>
      <c r="G98" s="7" t="s">
        <v>184</v>
      </c>
      <c r="H98" s="5" t="s">
        <v>13</v>
      </c>
    </row>
    <row r="99" spans="1:8" ht="105" x14ac:dyDescent="0.25">
      <c r="A99" s="5">
        <v>98</v>
      </c>
      <c r="B99" s="5" t="str">
        <f>"STATIM-"&amp;C99&amp;"-"&amp;D99&amp;"-"&amp;TEXT(COUNTIFS($C$2:C99,C99,$D$2:D99,D99),"000")</f>
        <v>STATIM-UW-General-018</v>
      </c>
      <c r="C99" s="5" t="s">
        <v>8</v>
      </c>
      <c r="D99" s="5" t="s">
        <v>159</v>
      </c>
      <c r="E99" s="5" t="s">
        <v>17</v>
      </c>
      <c r="F99" s="5" t="s">
        <v>185</v>
      </c>
      <c r="G99" s="16" t="s">
        <v>186</v>
      </c>
      <c r="H99" s="5" t="s">
        <v>43</v>
      </c>
    </row>
    <row r="100" spans="1:8" ht="75" x14ac:dyDescent="0.25">
      <c r="A100" s="5">
        <v>99</v>
      </c>
      <c r="B100" s="5" t="str">
        <f>"STATIM-"&amp;C100&amp;"-"&amp;D100&amp;"-"&amp;TEXT(COUNTIFS($C$2:C100,C100,$D$2:D100,D100),"000")</f>
        <v>STATIM-UW-General-019</v>
      </c>
      <c r="C100" s="5" t="s">
        <v>8</v>
      </c>
      <c r="D100" s="5" t="s">
        <v>159</v>
      </c>
      <c r="E100" s="5" t="s">
        <v>17</v>
      </c>
      <c r="F100" s="11" t="s">
        <v>79</v>
      </c>
      <c r="G100" s="7" t="s">
        <v>187</v>
      </c>
      <c r="H100" s="5" t="s">
        <v>13</v>
      </c>
    </row>
    <row r="101" spans="1:8" ht="30" x14ac:dyDescent="0.25">
      <c r="A101" s="5">
        <v>100</v>
      </c>
      <c r="B101" s="5" t="str">
        <f>"STATIM-"&amp;C101&amp;"-"&amp;D101&amp;"-"&amp;TEXT(COUNTIFS($C$2:C101,C101,$D$2:D101,D101),"000")</f>
        <v>STATIM-UW-General-020</v>
      </c>
      <c r="C101" s="5" t="s">
        <v>8</v>
      </c>
      <c r="D101" s="5" t="s">
        <v>159</v>
      </c>
      <c r="E101" s="5" t="s">
        <v>17</v>
      </c>
      <c r="F101" s="5" t="s">
        <v>188</v>
      </c>
      <c r="G101" s="7" t="s">
        <v>189</v>
      </c>
      <c r="H101" s="5" t="s">
        <v>43</v>
      </c>
    </row>
    <row r="102" spans="1:8" ht="120" x14ac:dyDescent="0.25">
      <c r="A102" s="5">
        <v>101</v>
      </c>
      <c r="B102" s="5" t="str">
        <f>"STATIM-"&amp;C102&amp;"-"&amp;D102&amp;"-"&amp;TEXT(COUNTIFS($C$2:C102,C102,$D$2:D102,D102),"000")</f>
        <v>STATIM-UW-General-021</v>
      </c>
      <c r="C102" s="5" t="s">
        <v>8</v>
      </c>
      <c r="D102" s="5" t="s">
        <v>159</v>
      </c>
      <c r="E102" s="5" t="s">
        <v>17</v>
      </c>
      <c r="F102" s="5" t="s">
        <v>162</v>
      </c>
      <c r="G102" s="13" t="s">
        <v>190</v>
      </c>
      <c r="H102" s="5" t="s">
        <v>43</v>
      </c>
    </row>
    <row r="103" spans="1:8" ht="90" x14ac:dyDescent="0.25">
      <c r="A103" s="5">
        <v>102</v>
      </c>
      <c r="B103" s="5" t="str">
        <f>"STATIM-"&amp;C103&amp;"-"&amp;D103&amp;"-"&amp;TEXT(COUNTIFS($C$2:C103,C103,$D$2:D103,D103),"000")</f>
        <v>STATIM-Claims-All-001</v>
      </c>
      <c r="C103" s="5" t="s">
        <v>95</v>
      </c>
      <c r="D103" s="5" t="s">
        <v>191</v>
      </c>
      <c r="E103" s="5" t="s">
        <v>95</v>
      </c>
      <c r="F103" s="5" t="s">
        <v>192</v>
      </c>
      <c r="G103" s="7" t="s">
        <v>193</v>
      </c>
      <c r="H103" s="5" t="s">
        <v>43</v>
      </c>
    </row>
    <row r="104" spans="1:8" ht="45" x14ac:dyDescent="0.25">
      <c r="A104" s="5">
        <v>103</v>
      </c>
      <c r="B104" s="5" t="str">
        <f>"STATIM-"&amp;C104&amp;"-"&amp;D104&amp;"-"&amp;TEXT(COUNTIFS($C$2:C104,C104,$D$2:D104,D104),"000")</f>
        <v>STATIM-Claims-Marine-001</v>
      </c>
      <c r="C104" s="5" t="s">
        <v>95</v>
      </c>
      <c r="D104" s="5" t="s">
        <v>194</v>
      </c>
      <c r="E104" s="5" t="s">
        <v>95</v>
      </c>
      <c r="F104" s="5" t="s">
        <v>96</v>
      </c>
      <c r="G104" s="13" t="s">
        <v>195</v>
      </c>
      <c r="H104" s="5" t="s">
        <v>43</v>
      </c>
    </row>
    <row r="105" spans="1:8" ht="60" x14ac:dyDescent="0.25">
      <c r="A105" s="5">
        <v>104</v>
      </c>
      <c r="B105" s="5" t="str">
        <f>"STATIM-"&amp;C105&amp;"-"&amp;D105&amp;"-"&amp;TEXT(COUNTIFS($C$2:C105,C105,$D$2:D105,D105),"000")</f>
        <v>STATIM-Claims-Marine-002</v>
      </c>
      <c r="C105" s="5" t="s">
        <v>95</v>
      </c>
      <c r="D105" s="5" t="s">
        <v>194</v>
      </c>
      <c r="E105" s="5" t="s">
        <v>95</v>
      </c>
      <c r="F105" s="5" t="s">
        <v>102</v>
      </c>
      <c r="G105" s="7" t="s">
        <v>196</v>
      </c>
      <c r="H105" s="5" t="s">
        <v>43</v>
      </c>
    </row>
    <row r="106" spans="1:8" ht="30" x14ac:dyDescent="0.25">
      <c r="A106" s="5">
        <v>105</v>
      </c>
      <c r="B106" s="5" t="str">
        <f>"STATIM-"&amp;C106&amp;"-"&amp;D106&amp;"-"&amp;TEXT(COUNTIFS($C$2:C106,C106,$D$2:D106,D106),"000")</f>
        <v>STATIM-Claims-Marine-003</v>
      </c>
      <c r="C106" s="5" t="s">
        <v>95</v>
      </c>
      <c r="D106" s="5" t="s">
        <v>194</v>
      </c>
      <c r="E106" s="5" t="s">
        <v>95</v>
      </c>
      <c r="F106" s="5" t="s">
        <v>197</v>
      </c>
      <c r="G106" s="7" t="s">
        <v>198</v>
      </c>
      <c r="H106" s="5" t="s">
        <v>20</v>
      </c>
    </row>
    <row r="107" spans="1:8" ht="30" x14ac:dyDescent="0.25">
      <c r="A107" s="5">
        <v>106</v>
      </c>
      <c r="B107" s="5" t="str">
        <f>"STATIM-"&amp;C107&amp;"-"&amp;D107&amp;"-"&amp;TEXT(COUNTIFS($C$2:C107,C107,$D$2:D107,D107),"000")</f>
        <v>STATIM-Claims-General-001</v>
      </c>
      <c r="C107" s="5" t="s">
        <v>95</v>
      </c>
      <c r="D107" s="5" t="s">
        <v>159</v>
      </c>
      <c r="E107" s="5" t="s">
        <v>95</v>
      </c>
      <c r="F107" s="5" t="s">
        <v>102</v>
      </c>
      <c r="G107" s="13" t="s">
        <v>199</v>
      </c>
      <c r="H107" s="5" t="s">
        <v>43</v>
      </c>
    </row>
    <row r="108" spans="1:8" ht="60" x14ac:dyDescent="0.25">
      <c r="A108" s="5">
        <v>107</v>
      </c>
      <c r="B108" s="5" t="str">
        <f>"STATIM-"&amp;C108&amp;"-"&amp;D108&amp;"-"&amp;TEXT(COUNTIFS($C$2:C108,C108,$D$2:D108,D108),"000")</f>
        <v>STATIM-Claims-All-002</v>
      </c>
      <c r="C108" s="5" t="s">
        <v>95</v>
      </c>
      <c r="D108" s="5" t="s">
        <v>191</v>
      </c>
      <c r="E108" s="5" t="s">
        <v>95</v>
      </c>
      <c r="F108" s="5" t="s">
        <v>200</v>
      </c>
      <c r="G108" s="7" t="s">
        <v>201</v>
      </c>
      <c r="H108" s="5" t="s">
        <v>30</v>
      </c>
    </row>
    <row r="109" spans="1:8" ht="30" x14ac:dyDescent="0.25">
      <c r="A109" s="5">
        <v>108</v>
      </c>
      <c r="B109" s="5" t="str">
        <f>"STATIM-"&amp;C109&amp;"-"&amp;D109&amp;"-"&amp;TEXT(COUNTIFS($C$2:C109,C109,$D$2:D109,D109),"000")</f>
        <v>STATIM-Claims-General-002</v>
      </c>
      <c r="C109" s="5" t="s">
        <v>95</v>
      </c>
      <c r="D109" s="5" t="s">
        <v>159</v>
      </c>
      <c r="E109" s="5" t="s">
        <v>95</v>
      </c>
      <c r="F109" s="5" t="s">
        <v>197</v>
      </c>
      <c r="G109" s="7" t="s">
        <v>202</v>
      </c>
      <c r="H109" s="5" t="s">
        <v>43</v>
      </c>
    </row>
    <row r="110" spans="1:8" ht="75" x14ac:dyDescent="0.25">
      <c r="A110" s="5">
        <v>109</v>
      </c>
      <c r="B110" s="5" t="str">
        <f>"STATIM-"&amp;C110&amp;"-"&amp;D110&amp;"-"&amp;TEXT(COUNTIFS($C$2:C110,C110,$D$2:D110,D110),"000")</f>
        <v>STATIM-Claims-General-003</v>
      </c>
      <c r="C110" s="5" t="s">
        <v>95</v>
      </c>
      <c r="D110" s="5" t="s">
        <v>159</v>
      </c>
      <c r="E110" s="5" t="s">
        <v>95</v>
      </c>
      <c r="F110" s="5" t="s">
        <v>197</v>
      </c>
      <c r="G110" s="7" t="s">
        <v>203</v>
      </c>
      <c r="H110" s="5" t="s">
        <v>43</v>
      </c>
    </row>
    <row r="111" spans="1:8" ht="90" x14ac:dyDescent="0.25">
      <c r="A111" s="5">
        <v>110</v>
      </c>
      <c r="B111" s="5" t="str">
        <f>"STATIM-"&amp;C111&amp;"-"&amp;D111&amp;"-"&amp;TEXT(COUNTIFS($C$2:C111,C111,$D$2:D111,D111),"000")</f>
        <v>STATIM-Claims-General-004</v>
      </c>
      <c r="C111" s="5" t="s">
        <v>95</v>
      </c>
      <c r="D111" s="5" t="s">
        <v>159</v>
      </c>
      <c r="E111" s="5" t="s">
        <v>95</v>
      </c>
      <c r="F111" s="5" t="s">
        <v>102</v>
      </c>
      <c r="G111" s="7" t="s">
        <v>204</v>
      </c>
      <c r="H111" s="5" t="s">
        <v>64</v>
      </c>
    </row>
    <row r="112" spans="1:8" ht="90" x14ac:dyDescent="0.25">
      <c r="A112" s="5">
        <v>111</v>
      </c>
      <c r="B112" s="5" t="str">
        <f>"STATIM-"&amp;C112&amp;"-"&amp;D112&amp;"-"&amp;TEXT(COUNTIFS($C$2:C112,C112,$D$2:D112,D112),"000")</f>
        <v>STATIM-Claims-General-005</v>
      </c>
      <c r="C112" s="5" t="s">
        <v>95</v>
      </c>
      <c r="D112" s="5" t="s">
        <v>159</v>
      </c>
      <c r="E112" s="5" t="s">
        <v>95</v>
      </c>
      <c r="F112" s="5" t="s">
        <v>197</v>
      </c>
      <c r="G112" s="13" t="s">
        <v>205</v>
      </c>
      <c r="H112" s="5" t="s">
        <v>64</v>
      </c>
    </row>
    <row r="113" spans="1:8" ht="60" x14ac:dyDescent="0.25">
      <c r="A113" s="5">
        <v>112</v>
      </c>
      <c r="B113" s="5" t="str">
        <f>"STATIM-"&amp;C113&amp;"-"&amp;D113&amp;"-"&amp;TEXT(COUNTIFS($C$2:C113,C113,$D$2:D113,D113),"000")</f>
        <v>STATIM-Claims-General-006</v>
      </c>
      <c r="C113" s="5" t="s">
        <v>95</v>
      </c>
      <c r="D113" s="5" t="s">
        <v>159</v>
      </c>
      <c r="E113" s="5" t="s">
        <v>95</v>
      </c>
      <c r="F113" s="5" t="s">
        <v>88</v>
      </c>
      <c r="G113" s="7" t="s">
        <v>206</v>
      </c>
      <c r="H113" s="5" t="s">
        <v>20</v>
      </c>
    </row>
    <row r="114" spans="1:8" ht="60" x14ac:dyDescent="0.25">
      <c r="A114" s="5">
        <v>113</v>
      </c>
      <c r="B114" s="5" t="str">
        <f>"STATIM-"&amp;C114&amp;"-"&amp;D114&amp;"-"&amp;TEXT(COUNTIFS($C$2:C114,C114,$D$2:D114,D114),"000")</f>
        <v>STATIM-Claims-General-007</v>
      </c>
      <c r="C114" s="5" t="s">
        <v>95</v>
      </c>
      <c r="D114" s="5" t="s">
        <v>159</v>
      </c>
      <c r="E114" s="5" t="s">
        <v>95</v>
      </c>
      <c r="F114" s="5" t="s">
        <v>102</v>
      </c>
      <c r="G114" s="13" t="s">
        <v>207</v>
      </c>
      <c r="H114" s="5" t="s">
        <v>13</v>
      </c>
    </row>
    <row r="115" spans="1:8" ht="60" x14ac:dyDescent="0.25">
      <c r="A115" s="5">
        <v>114</v>
      </c>
      <c r="B115" s="5" t="str">
        <f>"STATIM-"&amp;C115&amp;"-"&amp;D115&amp;"-"&amp;TEXT(COUNTIFS($C$2:C115,C115,$D$2:D115,D115),"000")</f>
        <v>STATIM-Claims-General-008</v>
      </c>
      <c r="C115" s="5" t="s">
        <v>95</v>
      </c>
      <c r="D115" s="5" t="s">
        <v>159</v>
      </c>
      <c r="E115" s="5" t="s">
        <v>95</v>
      </c>
      <c r="F115" s="5" t="s">
        <v>197</v>
      </c>
      <c r="G115" s="13" t="s">
        <v>208</v>
      </c>
      <c r="H115" s="5" t="s">
        <v>64</v>
      </c>
    </row>
    <row r="116" spans="1:8" ht="135" x14ac:dyDescent="0.25">
      <c r="A116" s="5">
        <v>115</v>
      </c>
      <c r="B116" s="5" t="str">
        <f>"STATIM-"&amp;C116&amp;"-"&amp;D116&amp;"-"&amp;TEXT(COUNTIFS($C$2:C116,C116,$D$2:D116,D116),"000")</f>
        <v>STATIM-Claims-General-009</v>
      </c>
      <c r="C116" s="5" t="s">
        <v>95</v>
      </c>
      <c r="D116" s="5" t="s">
        <v>159</v>
      </c>
      <c r="E116" s="5" t="s">
        <v>95</v>
      </c>
      <c r="F116" s="5" t="s">
        <v>102</v>
      </c>
      <c r="G116" s="13" t="s">
        <v>209</v>
      </c>
      <c r="H116" s="5" t="s">
        <v>64</v>
      </c>
    </row>
    <row r="117" spans="1:8" ht="90" x14ac:dyDescent="0.25">
      <c r="A117" s="5">
        <v>116</v>
      </c>
      <c r="B117" s="5" t="str">
        <f>"STATIM-"&amp;C117&amp;"-"&amp;D117&amp;"-"&amp;TEXT(COUNTIFS($C$2:C117,C117,$D$2:D117,D117),"000")</f>
        <v>STATIM-Claims-General-010</v>
      </c>
      <c r="C117" s="5" t="s">
        <v>95</v>
      </c>
      <c r="D117" s="5" t="s">
        <v>159</v>
      </c>
      <c r="E117" s="5" t="s">
        <v>95</v>
      </c>
      <c r="F117" s="5" t="s">
        <v>96</v>
      </c>
      <c r="G117" s="7" t="s">
        <v>210</v>
      </c>
      <c r="H117" s="5" t="s">
        <v>20</v>
      </c>
    </row>
    <row r="118" spans="1:8" ht="120" x14ac:dyDescent="0.25">
      <c r="A118" s="5">
        <v>117</v>
      </c>
      <c r="B118" s="5" t="str">
        <f>"STATIM-"&amp;C118&amp;"-"&amp;D118&amp;"-"&amp;TEXT(COUNTIFS($C$2:C118,C118,$D$2:D118,D118),"000")</f>
        <v>STATIM-Claims-General-011</v>
      </c>
      <c r="C118" s="5" t="s">
        <v>95</v>
      </c>
      <c r="D118" s="5" t="s">
        <v>159</v>
      </c>
      <c r="E118" s="5" t="s">
        <v>95</v>
      </c>
      <c r="F118" s="5" t="s">
        <v>96</v>
      </c>
      <c r="G118" s="7" t="s">
        <v>211</v>
      </c>
      <c r="H118" s="5" t="s">
        <v>13</v>
      </c>
    </row>
    <row r="119" spans="1:8" ht="210" x14ac:dyDescent="0.25">
      <c r="A119" s="5">
        <v>118</v>
      </c>
      <c r="B119" s="5" t="str">
        <f>"STATIM-"&amp;C119&amp;"-"&amp;D119&amp;"-"&amp;TEXT(COUNTIFS($C$2:C119,C119,$D$2:D119,D119),"000")</f>
        <v>STATIM-Claims-General-012</v>
      </c>
      <c r="C119" s="5" t="s">
        <v>95</v>
      </c>
      <c r="D119" s="5" t="s">
        <v>159</v>
      </c>
      <c r="E119" s="5" t="s">
        <v>95</v>
      </c>
      <c r="F119" s="5" t="s">
        <v>212</v>
      </c>
      <c r="G119" s="13" t="s">
        <v>213</v>
      </c>
      <c r="H119" s="5" t="s">
        <v>43</v>
      </c>
    </row>
    <row r="120" spans="1:8" ht="75" x14ac:dyDescent="0.25">
      <c r="A120" s="5">
        <v>119</v>
      </c>
      <c r="B120" s="5" t="str">
        <f>"STATIM-"&amp;C120&amp;"-"&amp;D120&amp;"-"&amp;TEXT(COUNTIFS($C$2:C120,C120,$D$2:D120,D120),"000")</f>
        <v>STATIM-Claims-General-013</v>
      </c>
      <c r="C120" s="5" t="s">
        <v>95</v>
      </c>
      <c r="D120" s="5" t="s">
        <v>159</v>
      </c>
      <c r="E120" s="5" t="s">
        <v>95</v>
      </c>
      <c r="F120" s="5" t="s">
        <v>102</v>
      </c>
      <c r="G120" s="13" t="s">
        <v>214</v>
      </c>
      <c r="H120" s="5" t="s">
        <v>43</v>
      </c>
    </row>
    <row r="121" spans="1:8" ht="165" x14ac:dyDescent="0.25">
      <c r="A121" s="5">
        <v>120</v>
      </c>
      <c r="B121" s="5" t="str">
        <f>"STATIM-"&amp;C121&amp;"-"&amp;D121&amp;"-"&amp;TEXT(COUNTIFS($C$2:C121,C121,$D$2:D121,D121),"000")</f>
        <v>STATIM-Claims-General-014</v>
      </c>
      <c r="C121" s="5" t="s">
        <v>95</v>
      </c>
      <c r="D121" s="5" t="s">
        <v>159</v>
      </c>
      <c r="E121" s="5" t="s">
        <v>95</v>
      </c>
      <c r="F121" s="5" t="s">
        <v>102</v>
      </c>
      <c r="G121" s="7" t="s">
        <v>215</v>
      </c>
      <c r="H121" s="5" t="s">
        <v>43</v>
      </c>
    </row>
    <row r="122" spans="1:8" ht="180" x14ac:dyDescent="0.25">
      <c r="A122" s="5">
        <v>121</v>
      </c>
      <c r="B122" s="5" t="str">
        <f>"STATIM-"&amp;C122&amp;"-"&amp;D122&amp;"-"&amp;TEXT(COUNTIFS($C$2:C122,C122,$D$2:D122,D122),"000")</f>
        <v>STATIM-Reinsurance-All-001</v>
      </c>
      <c r="C122" s="12" t="s">
        <v>90</v>
      </c>
      <c r="D122" s="5" t="s">
        <v>191</v>
      </c>
      <c r="E122" s="5" t="s">
        <v>90</v>
      </c>
      <c r="F122" s="12" t="s">
        <v>216</v>
      </c>
      <c r="G122" s="7" t="s">
        <v>217</v>
      </c>
      <c r="H122" s="5" t="s">
        <v>13</v>
      </c>
    </row>
    <row r="123" spans="1:8" ht="135" x14ac:dyDescent="0.25">
      <c r="A123" s="5">
        <v>122</v>
      </c>
      <c r="B123" s="5" t="str">
        <f>"STATIM-"&amp;C123&amp;"-"&amp;D123&amp;"-"&amp;TEXT(COUNTIFS($C$2:C123,C123,$D$2:D123,D123),"000")</f>
        <v>STATIM-Reinsurance-All-002</v>
      </c>
      <c r="C123" s="12" t="s">
        <v>90</v>
      </c>
      <c r="D123" s="5" t="s">
        <v>191</v>
      </c>
      <c r="E123" s="5" t="s">
        <v>90</v>
      </c>
      <c r="F123" s="12" t="s">
        <v>216</v>
      </c>
      <c r="G123" s="7" t="s">
        <v>218</v>
      </c>
      <c r="H123" s="5" t="s">
        <v>13</v>
      </c>
    </row>
    <row r="124" spans="1:8" ht="60" x14ac:dyDescent="0.25">
      <c r="A124" s="5">
        <v>123</v>
      </c>
      <c r="B124" s="5" t="str">
        <f>"STATIM-"&amp;C124&amp;"-"&amp;D124&amp;"-"&amp;TEXT(COUNTIFS($C$2:C124,C124,$D$2:D124,D124),"000")</f>
        <v>STATIM-Reinsurance-All-003</v>
      </c>
      <c r="C124" s="12" t="s">
        <v>90</v>
      </c>
      <c r="D124" s="5" t="s">
        <v>191</v>
      </c>
      <c r="E124" s="5" t="s">
        <v>90</v>
      </c>
      <c r="F124" s="12" t="s">
        <v>216</v>
      </c>
      <c r="G124" s="7" t="s">
        <v>219</v>
      </c>
      <c r="H124" s="5" t="s">
        <v>20</v>
      </c>
    </row>
    <row r="125" spans="1:8" ht="45" x14ac:dyDescent="0.25">
      <c r="A125" s="5">
        <v>124</v>
      </c>
      <c r="B125" s="5" t="str">
        <f>"STATIM-"&amp;C125&amp;"-"&amp;D125&amp;"-"&amp;TEXT(COUNTIFS($C$2:C125,C125,$D$2:D125,D125),"000")</f>
        <v>STATIM-Reinsurance-All-004</v>
      </c>
      <c r="C125" s="12" t="s">
        <v>90</v>
      </c>
      <c r="D125" s="5" t="s">
        <v>191</v>
      </c>
      <c r="E125" s="5" t="s">
        <v>90</v>
      </c>
      <c r="F125" s="12" t="s">
        <v>216</v>
      </c>
      <c r="G125" s="7" t="s">
        <v>220</v>
      </c>
      <c r="H125" s="5" t="s">
        <v>13</v>
      </c>
    </row>
    <row r="126" spans="1:8" x14ac:dyDescent="0.25">
      <c r="A126" s="5">
        <v>125</v>
      </c>
      <c r="B126" s="5" t="str">
        <f>"STATIM-"&amp;C126&amp;"-"&amp;D126&amp;"-"&amp;TEXT(COUNTIFS($C$2:C126,C126,$D$2:D126,D126),"000")</f>
        <v>STATIM-Reinsurance-All-005</v>
      </c>
      <c r="C126" s="12" t="s">
        <v>90</v>
      </c>
      <c r="D126" s="5" t="s">
        <v>191</v>
      </c>
      <c r="E126" s="5" t="s">
        <v>90</v>
      </c>
      <c r="F126" s="12" t="s">
        <v>216</v>
      </c>
      <c r="G126" s="7" t="s">
        <v>221</v>
      </c>
      <c r="H126" s="5" t="s">
        <v>13</v>
      </c>
    </row>
    <row r="127" spans="1:8" ht="120" x14ac:dyDescent="0.25">
      <c r="A127" s="5">
        <v>126</v>
      </c>
      <c r="B127" s="5" t="str">
        <f>"STATIM-"&amp;C127&amp;"-"&amp;D127&amp;"-"&amp;TEXT(COUNTIFS($C$2:C127,C127,$D$2:D127,D127),"000")</f>
        <v>STATIM-Reinsurance-All-006</v>
      </c>
      <c r="C127" s="12" t="s">
        <v>90</v>
      </c>
      <c r="D127" s="5" t="s">
        <v>191</v>
      </c>
      <c r="E127" s="5" t="s">
        <v>90</v>
      </c>
      <c r="F127" s="12" t="s">
        <v>222</v>
      </c>
      <c r="G127" s="7" t="s">
        <v>223</v>
      </c>
      <c r="H127" s="5" t="s">
        <v>13</v>
      </c>
    </row>
    <row r="128" spans="1:8" ht="120" x14ac:dyDescent="0.25">
      <c r="A128" s="5">
        <v>127</v>
      </c>
      <c r="B128" s="5" t="str">
        <f>"STATIM-"&amp;C128&amp;"-"&amp;D128&amp;"-"&amp;TEXT(COUNTIFS($C$2:C128,C128,$D$2:D128,D128),"000")</f>
        <v>STATIM-Reinsurance-All-007</v>
      </c>
      <c r="C128" s="12" t="s">
        <v>90</v>
      </c>
      <c r="D128" s="5" t="s">
        <v>191</v>
      </c>
      <c r="E128" s="5" t="s">
        <v>90</v>
      </c>
      <c r="F128" s="12" t="s">
        <v>222</v>
      </c>
      <c r="G128" s="13" t="s">
        <v>224</v>
      </c>
      <c r="H128" s="5" t="s">
        <v>43</v>
      </c>
    </row>
    <row r="129" spans="1:8" ht="30" x14ac:dyDescent="0.25">
      <c r="A129" s="5">
        <v>128</v>
      </c>
      <c r="B129" s="5" t="str">
        <f>"STATIM-"&amp;C129&amp;"-"&amp;D129&amp;"-"&amp;TEXT(COUNTIFS($C$2:C129,C129,$D$2:D129,D129),"000")</f>
        <v>STATIM-Reinsurance-All-008</v>
      </c>
      <c r="C129" s="12" t="s">
        <v>90</v>
      </c>
      <c r="D129" s="5" t="s">
        <v>191</v>
      </c>
      <c r="E129" s="5" t="s">
        <v>90</v>
      </c>
      <c r="F129" s="12" t="s">
        <v>225</v>
      </c>
      <c r="G129" s="7" t="s">
        <v>226</v>
      </c>
      <c r="H129" s="5" t="s">
        <v>43</v>
      </c>
    </row>
    <row r="130" spans="1:8" ht="105" x14ac:dyDescent="0.25">
      <c r="A130" s="5">
        <v>129</v>
      </c>
      <c r="B130" s="5" t="str">
        <f>"STATIM-"&amp;C130&amp;"-"&amp;D130&amp;"-"&amp;TEXT(COUNTIFS($C$2:C130,C130,$D$2:D130,D130),"000")</f>
        <v>STATIM-Reinsurance-All-009</v>
      </c>
      <c r="C130" s="12" t="s">
        <v>90</v>
      </c>
      <c r="D130" s="5" t="s">
        <v>191</v>
      </c>
      <c r="E130" s="5" t="s">
        <v>90</v>
      </c>
      <c r="F130" s="12" t="s">
        <v>227</v>
      </c>
      <c r="G130" s="7" t="s">
        <v>228</v>
      </c>
      <c r="H130" s="5" t="s">
        <v>43</v>
      </c>
    </row>
    <row r="131" spans="1:8" x14ac:dyDescent="0.25">
      <c r="A131" s="5">
        <v>130</v>
      </c>
      <c r="B131" s="5" t="str">
        <f>"STATIM-"&amp;C131&amp;"-"&amp;D131&amp;"-"&amp;TEXT(COUNTIFS($C$2:C131,C131,$D$2:D131,D131),"000")</f>
        <v>STATIM-Reinsurance-Motor-001</v>
      </c>
      <c r="C131" s="5" t="s">
        <v>90</v>
      </c>
      <c r="D131" s="5" t="s">
        <v>9</v>
      </c>
      <c r="E131" s="5" t="s">
        <v>90</v>
      </c>
      <c r="F131" s="5" t="s">
        <v>229</v>
      </c>
      <c r="G131" s="13" t="s">
        <v>230</v>
      </c>
      <c r="H131" s="5" t="s">
        <v>13</v>
      </c>
    </row>
    <row r="132" spans="1:8" ht="140.25" customHeight="1" x14ac:dyDescent="0.25">
      <c r="A132" s="5">
        <v>131</v>
      </c>
      <c r="B132" s="5" t="str">
        <f>"STATIM-"&amp;C132&amp;"-"&amp;D132&amp;"-"&amp;TEXT(COUNTIFS($C$2:C132,C132,$D$2:D132,D132),"000")</f>
        <v>STATIM-Reinsurance-All-010</v>
      </c>
      <c r="C132" s="12" t="s">
        <v>90</v>
      </c>
      <c r="D132" s="5" t="s">
        <v>191</v>
      </c>
      <c r="E132" s="5" t="s">
        <v>90</v>
      </c>
      <c r="F132" s="5" t="s">
        <v>231</v>
      </c>
      <c r="G132" s="13" t="s">
        <v>232</v>
      </c>
      <c r="H132" s="5" t="s">
        <v>20</v>
      </c>
    </row>
    <row r="133" spans="1:8" ht="45" x14ac:dyDescent="0.25">
      <c r="A133" s="5">
        <v>132</v>
      </c>
      <c r="B133" s="5" t="str">
        <f>"STATIM-"&amp;C133&amp;"-"&amp;D133&amp;"-"&amp;TEXT(COUNTIFS($C$2:C133,C133,$D$2:D133,D133),"000")</f>
        <v>STATIM-Reinsurance-All-011</v>
      </c>
      <c r="C133" s="5" t="s">
        <v>90</v>
      </c>
      <c r="D133" s="5" t="s">
        <v>191</v>
      </c>
      <c r="E133" s="5" t="s">
        <v>90</v>
      </c>
      <c r="F133" s="5" t="s">
        <v>231</v>
      </c>
      <c r="G133" s="13" t="s">
        <v>233</v>
      </c>
      <c r="H133" s="12" t="s">
        <v>25</v>
      </c>
    </row>
    <row r="134" spans="1:8" ht="150" x14ac:dyDescent="0.25">
      <c r="A134" s="5">
        <v>133</v>
      </c>
      <c r="B134" s="5" t="str">
        <f>"STATIM-"&amp;C134&amp;"-"&amp;D134&amp;"-"&amp;TEXT(COUNTIFS($C$2:C134,C134,$D$2:D134,D134),"000")</f>
        <v>STATIM-Finance-All-001</v>
      </c>
      <c r="C134" s="5" t="s">
        <v>234</v>
      </c>
      <c r="D134" s="5" t="s">
        <v>191</v>
      </c>
      <c r="E134" s="5" t="s">
        <v>234</v>
      </c>
      <c r="F134" s="5" t="s">
        <v>235</v>
      </c>
      <c r="G134" s="7" t="s">
        <v>236</v>
      </c>
      <c r="H134" s="5" t="s">
        <v>13</v>
      </c>
    </row>
    <row r="135" spans="1:8" ht="120" x14ac:dyDescent="0.25">
      <c r="A135" s="5">
        <v>134</v>
      </c>
      <c r="B135" s="5" t="str">
        <f>"STATIM-"&amp;C135&amp;"-"&amp;D135&amp;"-"&amp;TEXT(COUNTIFS($C$2:C135,C135,$D$2:D135,D135),"000")</f>
        <v>STATIM-Finance-All-002</v>
      </c>
      <c r="C135" s="5" t="s">
        <v>234</v>
      </c>
      <c r="D135" s="5" t="s">
        <v>191</v>
      </c>
      <c r="E135" s="5" t="s">
        <v>234</v>
      </c>
      <c r="F135" s="5" t="s">
        <v>235</v>
      </c>
      <c r="G135" s="7" t="s">
        <v>237</v>
      </c>
      <c r="H135" s="5" t="s">
        <v>13</v>
      </c>
    </row>
    <row r="136" spans="1:8" ht="135" x14ac:dyDescent="0.25">
      <c r="A136" s="5">
        <v>135</v>
      </c>
      <c r="B136" s="5" t="str">
        <f>"STATIM-"&amp;C136&amp;"-"&amp;D136&amp;"-"&amp;TEXT(COUNTIFS($C$2:C136,C136,$D$2:D136,D136),"000")</f>
        <v>STATIM-Finance-All-003</v>
      </c>
      <c r="C136" s="5" t="s">
        <v>234</v>
      </c>
      <c r="D136" s="5" t="s">
        <v>191</v>
      </c>
      <c r="E136" s="5" t="s">
        <v>234</v>
      </c>
      <c r="F136" s="5" t="s">
        <v>238</v>
      </c>
      <c r="G136" s="7" t="s">
        <v>239</v>
      </c>
      <c r="H136" s="5" t="s">
        <v>30</v>
      </c>
    </row>
    <row r="137" spans="1:8" ht="105" x14ac:dyDescent="0.25">
      <c r="A137" s="5">
        <v>136</v>
      </c>
      <c r="B137" s="5" t="str">
        <f>"STATIM-"&amp;C137&amp;"-"&amp;D137&amp;"-"&amp;TEXT(COUNTIFS($C$2:C137,C137,$D$2:D137,D137),"000")</f>
        <v>STATIM-Finance-All-004</v>
      </c>
      <c r="C137" s="5" t="s">
        <v>234</v>
      </c>
      <c r="D137" s="5" t="s">
        <v>191</v>
      </c>
      <c r="E137" s="5" t="s">
        <v>234</v>
      </c>
      <c r="F137" s="5" t="s">
        <v>240</v>
      </c>
      <c r="G137" s="7" t="s">
        <v>241</v>
      </c>
      <c r="H137" s="5" t="s">
        <v>64</v>
      </c>
    </row>
    <row r="138" spans="1:8" ht="30" x14ac:dyDescent="0.25">
      <c r="A138" s="5">
        <v>137</v>
      </c>
      <c r="B138" s="5" t="str">
        <f>"STATIM-"&amp;C138&amp;"-"&amp;D138&amp;"-"&amp;TEXT(COUNTIFS($C$2:C138,C138,$D$2:D138,D138),"000")</f>
        <v>STATIM-Finance-All-005</v>
      </c>
      <c r="C138" s="5" t="s">
        <v>234</v>
      </c>
      <c r="D138" s="5" t="s">
        <v>191</v>
      </c>
      <c r="E138" s="5" t="s">
        <v>234</v>
      </c>
      <c r="F138" s="5" t="s">
        <v>240</v>
      </c>
      <c r="G138" s="7" t="s">
        <v>242</v>
      </c>
      <c r="H138" s="5" t="s">
        <v>64</v>
      </c>
    </row>
    <row r="139" spans="1:8" ht="150" x14ac:dyDescent="0.25">
      <c r="A139" s="5">
        <v>138</v>
      </c>
      <c r="B139" s="5" t="str">
        <f>"STATIM-"&amp;C139&amp;"-"&amp;D139&amp;"-"&amp;TEXT(COUNTIFS($C$2:C139,C139,$D$2:D139,D139),"000")</f>
        <v>STATIM-Finance-All-006</v>
      </c>
      <c r="C139" s="5" t="s">
        <v>234</v>
      </c>
      <c r="D139" s="5" t="s">
        <v>191</v>
      </c>
      <c r="E139" s="5" t="s">
        <v>234</v>
      </c>
      <c r="F139" s="5" t="s">
        <v>243</v>
      </c>
      <c r="G139" s="7" t="s">
        <v>244</v>
      </c>
      <c r="H139" s="5" t="s">
        <v>43</v>
      </c>
    </row>
    <row r="140" spans="1:8" ht="45" x14ac:dyDescent="0.25">
      <c r="A140" s="5">
        <v>139</v>
      </c>
      <c r="B140" s="5" t="str">
        <f>"STATIM-"&amp;C140&amp;"-"&amp;D140&amp;"-"&amp;TEXT(COUNTIFS($C$2:C140,C140,$D$2:D140,D140),"000")</f>
        <v>STATIM-Finance-All-007</v>
      </c>
      <c r="C140" s="5" t="s">
        <v>234</v>
      </c>
      <c r="D140" s="5" t="s">
        <v>191</v>
      </c>
      <c r="E140" s="5" t="s">
        <v>234</v>
      </c>
      <c r="F140" s="5" t="s">
        <v>243</v>
      </c>
      <c r="G140" s="7" t="s">
        <v>245</v>
      </c>
      <c r="H140" s="5" t="s">
        <v>64</v>
      </c>
    </row>
    <row r="141" spans="1:8" ht="30" x14ac:dyDescent="0.25">
      <c r="A141" s="5">
        <v>140</v>
      </c>
      <c r="B141" s="5" t="str">
        <f>"STATIM-"&amp;C141&amp;"-"&amp;D141&amp;"-"&amp;TEXT(COUNTIFS($C$2:C141,C141,$D$2:D141,D141),"000")</f>
        <v>STATIM-Finance-All-008</v>
      </c>
      <c r="C141" s="5" t="s">
        <v>234</v>
      </c>
      <c r="D141" s="5" t="s">
        <v>191</v>
      </c>
      <c r="E141" s="5" t="s">
        <v>234</v>
      </c>
      <c r="F141" s="5" t="s">
        <v>247</v>
      </c>
      <c r="G141" s="13" t="s">
        <v>248</v>
      </c>
      <c r="H141" s="5" t="s">
        <v>64</v>
      </c>
    </row>
    <row r="142" spans="1:8" ht="30" x14ac:dyDescent="0.25">
      <c r="A142" s="5">
        <v>141</v>
      </c>
      <c r="B142" s="5" t="str">
        <f>"STATIM-"&amp;C142&amp;"-"&amp;D142&amp;"-"&amp;TEXT(COUNTIFS($C$2:C142,C142,$D$2:D142,D142),"000")</f>
        <v>STATIM-Finance-All-009</v>
      </c>
      <c r="C142" s="5" t="s">
        <v>234</v>
      </c>
      <c r="D142" s="5" t="s">
        <v>191</v>
      </c>
      <c r="E142" s="5" t="s">
        <v>234</v>
      </c>
      <c r="F142" s="5" t="s">
        <v>249</v>
      </c>
      <c r="G142" s="7" t="s">
        <v>250</v>
      </c>
      <c r="H142" s="5" t="s">
        <v>64</v>
      </c>
    </row>
    <row r="143" spans="1:8" ht="105" x14ac:dyDescent="0.25">
      <c r="A143" s="5">
        <v>142</v>
      </c>
      <c r="B143" s="5" t="str">
        <f>"STATIM-"&amp;C143&amp;"-"&amp;D143&amp;"-"&amp;TEXT(COUNTIFS($C$2:C143,C143,$D$2:D143,D143),"000")</f>
        <v>STATIM-Finance-All-010</v>
      </c>
      <c r="C143" s="5" t="s">
        <v>234</v>
      </c>
      <c r="D143" s="5" t="s">
        <v>191</v>
      </c>
      <c r="E143" s="5" t="s">
        <v>234</v>
      </c>
      <c r="F143" s="5" t="s">
        <v>251</v>
      </c>
      <c r="G143" s="7" t="s">
        <v>252</v>
      </c>
      <c r="H143" s="5" t="s">
        <v>64</v>
      </c>
    </row>
    <row r="144" spans="1:8" ht="90" x14ac:dyDescent="0.25">
      <c r="A144" s="5">
        <v>143</v>
      </c>
      <c r="B144" s="5" t="str">
        <f>"STATIM-"&amp;C144&amp;"-"&amp;D144&amp;"-"&amp;TEXT(COUNTIFS($C$2:C144,C144,$D$2:D144,D144),"000")</f>
        <v>STATIM-Finance-All-011</v>
      </c>
      <c r="C144" s="5" t="s">
        <v>234</v>
      </c>
      <c r="D144" s="5" t="s">
        <v>191</v>
      </c>
      <c r="E144" s="5" t="s">
        <v>234</v>
      </c>
      <c r="F144" s="5" t="s">
        <v>253</v>
      </c>
      <c r="G144" s="7" t="s">
        <v>254</v>
      </c>
      <c r="H144" s="5" t="s">
        <v>25</v>
      </c>
    </row>
    <row r="145" spans="1:8" ht="105" x14ac:dyDescent="0.25">
      <c r="A145" s="5">
        <v>144</v>
      </c>
      <c r="B145" s="5" t="str">
        <f>"STATIM-"&amp;C145&amp;"-"&amp;D145&amp;"-"&amp;TEXT(COUNTIFS($C$2:C145,C145,$D$2:D145,D145),"000")</f>
        <v>STATIM-Finance-All-012</v>
      </c>
      <c r="C145" s="5" t="s">
        <v>234</v>
      </c>
      <c r="D145" s="5" t="s">
        <v>191</v>
      </c>
      <c r="E145" s="5" t="s">
        <v>234</v>
      </c>
      <c r="F145" s="5" t="s">
        <v>255</v>
      </c>
      <c r="G145" s="9" t="s">
        <v>256</v>
      </c>
      <c r="H145" s="5" t="s">
        <v>30</v>
      </c>
    </row>
    <row r="146" spans="1:8" ht="60" x14ac:dyDescent="0.25">
      <c r="A146" s="5">
        <v>145</v>
      </c>
      <c r="B146" s="5" t="str">
        <f>"STATIM-"&amp;C146&amp;"-"&amp;D146&amp;"-"&amp;TEXT(COUNTIFS($C$2:C146,C146,$D$2:D146,D146),"000")</f>
        <v>STATIM-Finance-All-013</v>
      </c>
      <c r="C146" s="5" t="s">
        <v>234</v>
      </c>
      <c r="D146" s="5" t="s">
        <v>191</v>
      </c>
      <c r="E146" s="5" t="s">
        <v>234</v>
      </c>
      <c r="F146" s="12" t="s">
        <v>257</v>
      </c>
      <c r="G146" s="9" t="s">
        <v>258</v>
      </c>
      <c r="H146" s="5" t="s">
        <v>25</v>
      </c>
    </row>
    <row r="147" spans="1:8" ht="60" x14ac:dyDescent="0.25">
      <c r="A147" s="5">
        <v>146</v>
      </c>
      <c r="B147" s="5" t="str">
        <f>"STATIM-"&amp;C147&amp;"-"&amp;D147&amp;"-"&amp;TEXT(COUNTIFS($C$2:C147,C147,$D$2:D147,D147),"000")</f>
        <v>STATIM-Finance-All-014</v>
      </c>
      <c r="C147" s="5" t="s">
        <v>234</v>
      </c>
      <c r="D147" s="5" t="s">
        <v>191</v>
      </c>
      <c r="E147" s="5" t="s">
        <v>234</v>
      </c>
      <c r="F147" s="5" t="s">
        <v>259</v>
      </c>
      <c r="G147" s="7" t="s">
        <v>260</v>
      </c>
      <c r="H147" s="5" t="s">
        <v>43</v>
      </c>
    </row>
    <row r="148" spans="1:8" ht="180" x14ac:dyDescent="0.25">
      <c r="A148" s="5">
        <v>147</v>
      </c>
      <c r="B148" s="5" t="str">
        <f>"STATIM-"&amp;C148&amp;"-"&amp;D148&amp;"-"&amp;TEXT(COUNTIFS($C$2:C148,C148,$D$2:D148,D148),"000")</f>
        <v>STATIM-Finance-All-015</v>
      </c>
      <c r="C148" s="5" t="s">
        <v>234</v>
      </c>
      <c r="D148" s="5" t="s">
        <v>191</v>
      </c>
      <c r="E148" s="5" t="s">
        <v>234</v>
      </c>
      <c r="F148" s="5" t="s">
        <v>261</v>
      </c>
      <c r="G148" s="7" t="s">
        <v>262</v>
      </c>
      <c r="H148" s="5" t="s">
        <v>43</v>
      </c>
    </row>
    <row r="149" spans="1:8" ht="75" x14ac:dyDescent="0.25">
      <c r="A149" s="5">
        <v>148</v>
      </c>
      <c r="B149" s="5" t="str">
        <f>"STATIM-"&amp;C149&amp;"-"&amp;D149&amp;"-"&amp;TEXT(COUNTIFS($C$2:C149,C149,$D$2:D149,D149),"000")</f>
        <v>STATIM-Finance-All-016</v>
      </c>
      <c r="C149" s="5" t="s">
        <v>234</v>
      </c>
      <c r="D149" s="5" t="s">
        <v>191</v>
      </c>
      <c r="E149" s="5" t="s">
        <v>234</v>
      </c>
      <c r="F149" s="5" t="s">
        <v>263</v>
      </c>
      <c r="G149" s="9" t="s">
        <v>264</v>
      </c>
      <c r="H149" s="5" t="s">
        <v>64</v>
      </c>
    </row>
    <row r="150" spans="1:8" ht="255" x14ac:dyDescent="0.25">
      <c r="A150" s="5">
        <v>149</v>
      </c>
      <c r="B150" s="5" t="str">
        <f>"STATIM-"&amp;C150&amp;"-"&amp;D150&amp;"-"&amp;TEXT(COUNTIFS($C$2:C150,C150,$D$2:D150,D150),"000")</f>
        <v>STATIM-Finance-All-017</v>
      </c>
      <c r="C150" s="12" t="s">
        <v>234</v>
      </c>
      <c r="D150" s="12" t="s">
        <v>191</v>
      </c>
      <c r="E150" s="5" t="s">
        <v>234</v>
      </c>
      <c r="F150" s="12" t="s">
        <v>266</v>
      </c>
      <c r="G150" s="13" t="s">
        <v>267</v>
      </c>
      <c r="H150" s="12" t="s">
        <v>268</v>
      </c>
    </row>
    <row r="151" spans="1:8" x14ac:dyDescent="0.25">
      <c r="A151" s="5">
        <v>150</v>
      </c>
      <c r="B151" s="5" t="str">
        <f>"STATIM-"&amp;C151&amp;"-"&amp;D151&amp;"-"&amp;TEXT(COUNTIFS($C$2:C151,C151,$D$2:D151,D151),"000")</f>
        <v>STATIM-Finance-All-018</v>
      </c>
      <c r="C151" s="18" t="s">
        <v>234</v>
      </c>
      <c r="D151" s="18" t="s">
        <v>191</v>
      </c>
      <c r="E151" s="5" t="s">
        <v>234</v>
      </c>
      <c r="F151" s="18" t="s">
        <v>235</v>
      </c>
      <c r="G151" s="17" t="s">
        <v>269</v>
      </c>
      <c r="H151" s="14" t="s">
        <v>20</v>
      </c>
    </row>
    <row r="152" spans="1:8" x14ac:dyDescent="0.25">
      <c r="A152" s="5">
        <v>151</v>
      </c>
      <c r="B152" s="5" t="str">
        <f>"STATIM-"&amp;C152&amp;"-"&amp;D152&amp;"-"&amp;TEXT(COUNTIFS($C$2:C152,C152,$D$2:D152,D152),"000")</f>
        <v>STATIM-Finance-All-019</v>
      </c>
      <c r="C152" s="18" t="s">
        <v>234</v>
      </c>
      <c r="D152" s="18" t="s">
        <v>191</v>
      </c>
      <c r="E152" s="5" t="s">
        <v>234</v>
      </c>
      <c r="F152" s="18" t="s">
        <v>270</v>
      </c>
      <c r="G152" s="9" t="s">
        <v>271</v>
      </c>
      <c r="H152" s="5" t="s">
        <v>13</v>
      </c>
    </row>
    <row r="153" spans="1:8" ht="30" x14ac:dyDescent="0.25">
      <c r="A153" s="5">
        <v>152</v>
      </c>
      <c r="B153" s="5" t="str">
        <f>"STATIM-"&amp;C153&amp;"-"&amp;D153&amp;"-"&amp;TEXT(COUNTIFS($C$2:C153,C153,$D$2:D153,D153),"000")</f>
        <v>STATIM-Finance-All-020</v>
      </c>
      <c r="C153" s="18" t="s">
        <v>234</v>
      </c>
      <c r="D153" s="18" t="s">
        <v>191</v>
      </c>
      <c r="E153" s="5" t="s">
        <v>234</v>
      </c>
      <c r="F153" s="18" t="s">
        <v>272</v>
      </c>
      <c r="G153" s="17" t="s">
        <v>273</v>
      </c>
      <c r="H153" s="5" t="s">
        <v>13</v>
      </c>
    </row>
    <row r="154" spans="1:8" ht="90" x14ac:dyDescent="0.25">
      <c r="A154" s="5">
        <v>153</v>
      </c>
      <c r="B154" s="5" t="str">
        <f>"STATIM-"&amp;C154&amp;"-"&amp;D154&amp;"-"&amp;TEXT(COUNTIFS($C$2:C154,C154,$D$2:D154,D154),"000")</f>
        <v>STATIM-Finance-All-021</v>
      </c>
      <c r="C154" s="12" t="s">
        <v>234</v>
      </c>
      <c r="D154" s="12" t="s">
        <v>191</v>
      </c>
      <c r="E154" s="5" t="s">
        <v>234</v>
      </c>
      <c r="F154" s="12" t="s">
        <v>272</v>
      </c>
      <c r="G154" s="13" t="s">
        <v>274</v>
      </c>
      <c r="H154" s="5" t="s">
        <v>43</v>
      </c>
    </row>
    <row r="155" spans="1:8" ht="45" x14ac:dyDescent="0.25">
      <c r="A155" s="5">
        <v>154</v>
      </c>
      <c r="B155" s="5" t="str">
        <f>"STATIM-"&amp;C155&amp;"-"&amp;D155&amp;"-"&amp;TEXT(COUNTIFS($C$2:C155,C155,$D$2:D155,D155),"000")</f>
        <v>STATIM-Finance-All-022</v>
      </c>
      <c r="C155" s="12" t="s">
        <v>234</v>
      </c>
      <c r="D155" s="12" t="s">
        <v>191</v>
      </c>
      <c r="E155" s="5" t="s">
        <v>234</v>
      </c>
      <c r="F155" s="12" t="s">
        <v>275</v>
      </c>
      <c r="G155" s="13" t="s">
        <v>276</v>
      </c>
      <c r="H155" s="5" t="s">
        <v>25</v>
      </c>
    </row>
    <row r="156" spans="1:8" ht="30" x14ac:dyDescent="0.25">
      <c r="A156" s="5">
        <v>155</v>
      </c>
      <c r="B156" s="5" t="str">
        <f>"STATIM-"&amp;C156&amp;"-"&amp;D156&amp;"-"&amp;TEXT(COUNTIFS($C$2:C156,C156,$D$2:D156,D156),"000")</f>
        <v>STATIM-Finance-All-023</v>
      </c>
      <c r="C156" s="12" t="s">
        <v>234</v>
      </c>
      <c r="D156" s="12" t="s">
        <v>191</v>
      </c>
      <c r="E156" s="5" t="s">
        <v>234</v>
      </c>
      <c r="F156" s="12" t="s">
        <v>277</v>
      </c>
      <c r="G156" s="13" t="s">
        <v>278</v>
      </c>
      <c r="H156" s="5" t="s">
        <v>43</v>
      </c>
    </row>
    <row r="157" spans="1:8" ht="30" x14ac:dyDescent="0.25">
      <c r="A157" s="5">
        <v>156</v>
      </c>
      <c r="B157" s="5" t="str">
        <f>"STATIM-"&amp;C157&amp;"-"&amp;D157&amp;"-"&amp;TEXT(COUNTIFS($C$2:C157,C157,$D$2:D157,D157),"000")</f>
        <v>STATIM-Finance-All-024</v>
      </c>
      <c r="C157" s="12" t="s">
        <v>234</v>
      </c>
      <c r="D157" s="12" t="s">
        <v>191</v>
      </c>
      <c r="E157" s="5" t="s">
        <v>234</v>
      </c>
      <c r="F157" s="12" t="s">
        <v>279</v>
      </c>
      <c r="G157" s="13" t="s">
        <v>280</v>
      </c>
      <c r="H157" s="5" t="s">
        <v>20</v>
      </c>
    </row>
    <row r="158" spans="1:8" ht="30" x14ac:dyDescent="0.25">
      <c r="A158" s="5">
        <v>157</v>
      </c>
      <c r="B158" s="5" t="str">
        <f>"STATIM-"&amp;C158&amp;"-"&amp;D158&amp;"-"&amp;TEXT(COUNTIFS($C$2:C158,C158,$D$2:D158,D158),"000")</f>
        <v>STATIM-Finance-All-025</v>
      </c>
      <c r="C158" s="12" t="s">
        <v>234</v>
      </c>
      <c r="D158" s="12" t="s">
        <v>191</v>
      </c>
      <c r="E158" s="5" t="s">
        <v>234</v>
      </c>
      <c r="F158" s="12" t="s">
        <v>281</v>
      </c>
      <c r="G158" s="13" t="s">
        <v>282</v>
      </c>
      <c r="H158" s="5" t="s">
        <v>283</v>
      </c>
    </row>
    <row r="159" spans="1:8" ht="45" x14ac:dyDescent="0.25">
      <c r="A159" s="5">
        <v>158</v>
      </c>
      <c r="B159" s="5" t="str">
        <f>"STATIM-"&amp;C159&amp;"-"&amp;D159&amp;"-"&amp;TEXT(COUNTIFS($C$2:C159,C159,$D$2:D159,D159),"000")</f>
        <v>STATIM-Finance-All-026</v>
      </c>
      <c r="C159" s="19" t="s">
        <v>234</v>
      </c>
      <c r="D159" s="19" t="s">
        <v>191</v>
      </c>
      <c r="E159" s="5" t="s">
        <v>234</v>
      </c>
      <c r="F159" s="19" t="s">
        <v>284</v>
      </c>
      <c r="G159" s="9" t="s">
        <v>285</v>
      </c>
      <c r="H159" s="5" t="s">
        <v>30</v>
      </c>
    </row>
    <row r="160" spans="1:8" ht="30" x14ac:dyDescent="0.25">
      <c r="A160" s="5">
        <v>159</v>
      </c>
      <c r="B160" s="5" t="str">
        <f>"STATIM-"&amp;C160&amp;"-"&amp;D160&amp;"-"&amp;TEXT(COUNTIFS($C$2:C160,C160,$D$2:D160,D160),"000")</f>
        <v>STATIM-Finance-All-027</v>
      </c>
      <c r="C160" s="19" t="s">
        <v>234</v>
      </c>
      <c r="D160" s="5" t="s">
        <v>191</v>
      </c>
      <c r="E160" s="5" t="s">
        <v>234</v>
      </c>
      <c r="F160" s="19" t="s">
        <v>286</v>
      </c>
      <c r="G160" s="9" t="s">
        <v>287</v>
      </c>
      <c r="H160" s="14" t="s">
        <v>283</v>
      </c>
    </row>
    <row r="161" spans="1:8" ht="60" x14ac:dyDescent="0.25">
      <c r="A161" s="5">
        <v>160</v>
      </c>
      <c r="B161" s="5" t="str">
        <f>"STATIM-"&amp;C161&amp;"-"&amp;D161&amp;"-"&amp;TEXT(COUNTIFS($C$2:C161,C161,$D$2:D161,D161),"000")</f>
        <v>STATIM-UW-Health-001</v>
      </c>
      <c r="C161" s="5" t="s">
        <v>8</v>
      </c>
      <c r="D161" s="5" t="s">
        <v>288</v>
      </c>
      <c r="E161" s="5" t="s">
        <v>17</v>
      </c>
      <c r="F161" s="5" t="s">
        <v>289</v>
      </c>
      <c r="G161" s="7" t="s">
        <v>290</v>
      </c>
      <c r="H161" s="5" t="s">
        <v>30</v>
      </c>
    </row>
    <row r="162" spans="1:8" ht="60" x14ac:dyDescent="0.25">
      <c r="A162" s="5">
        <v>161</v>
      </c>
      <c r="B162" s="5" t="str">
        <f>"STATIM-"&amp;C162&amp;"-"&amp;D162&amp;"-"&amp;TEXT(COUNTIFS($C$2:C162,C162,$D$2:D162,D162),"000")</f>
        <v>STATIM-UW-Health-002</v>
      </c>
      <c r="C162" s="5" t="s">
        <v>8</v>
      </c>
      <c r="D162" s="5" t="s">
        <v>288</v>
      </c>
      <c r="E162" s="5" t="s">
        <v>17</v>
      </c>
      <c r="F162" s="5" t="s">
        <v>289</v>
      </c>
      <c r="G162" s="7" t="s">
        <v>291</v>
      </c>
      <c r="H162" s="5" t="s">
        <v>30</v>
      </c>
    </row>
    <row r="163" spans="1:8" ht="45" x14ac:dyDescent="0.25">
      <c r="A163" s="5">
        <v>162</v>
      </c>
      <c r="B163" s="5" t="str">
        <f>"STATIM-"&amp;C163&amp;"-"&amp;D163&amp;"-"&amp;TEXT(COUNTIFS($C$2:C163,C163,$D$2:D163,D163),"000")</f>
        <v>STATIM-UW-Health-003</v>
      </c>
      <c r="C163" s="5" t="s">
        <v>8</v>
      </c>
      <c r="D163" s="5" t="s">
        <v>288</v>
      </c>
      <c r="E163" s="5" t="s">
        <v>17</v>
      </c>
      <c r="F163" s="5" t="s">
        <v>30</v>
      </c>
      <c r="G163" s="7" t="s">
        <v>292</v>
      </c>
      <c r="H163" s="5" t="s">
        <v>30</v>
      </c>
    </row>
    <row r="164" spans="1:8" ht="75" x14ac:dyDescent="0.25">
      <c r="A164" s="5">
        <v>163</v>
      </c>
      <c r="B164" s="5" t="str">
        <f>"STATIM-"&amp;C164&amp;"-"&amp;D164&amp;"-"&amp;TEXT(COUNTIFS($C$2:C164,C164,$D$2:D164,D164),"000")</f>
        <v>STATIM-UW-Health-004</v>
      </c>
      <c r="C164" s="5" t="s">
        <v>8</v>
      </c>
      <c r="D164" s="5" t="s">
        <v>288</v>
      </c>
      <c r="E164" s="5" t="s">
        <v>17</v>
      </c>
      <c r="F164" s="5" t="s">
        <v>293</v>
      </c>
      <c r="G164" s="7" t="s">
        <v>294</v>
      </c>
      <c r="H164" s="14" t="s">
        <v>25</v>
      </c>
    </row>
    <row r="165" spans="1:8" ht="90" x14ac:dyDescent="0.25">
      <c r="A165" s="5">
        <v>164</v>
      </c>
      <c r="B165" s="5" t="str">
        <f>"STATIM-"&amp;C165&amp;"-"&amp;D165&amp;"-"&amp;TEXT(COUNTIFS($C$2:C165,C165,$D$2:D165,D165),"000")</f>
        <v>STATIM-UW-Health-005</v>
      </c>
      <c r="C165" s="5" t="s">
        <v>8</v>
      </c>
      <c r="D165" s="5" t="s">
        <v>288</v>
      </c>
      <c r="E165" s="5" t="s">
        <v>17</v>
      </c>
      <c r="F165" s="5" t="s">
        <v>295</v>
      </c>
      <c r="G165" s="7" t="s">
        <v>296</v>
      </c>
      <c r="H165" s="14" t="s">
        <v>25</v>
      </c>
    </row>
    <row r="166" spans="1:8" ht="90" x14ac:dyDescent="0.25">
      <c r="A166" s="5">
        <v>165</v>
      </c>
      <c r="B166" s="5" t="str">
        <f>"STATIM-"&amp;C166&amp;"-"&amp;D166&amp;"-"&amp;TEXT(COUNTIFS($C$2:C166,C166,$D$2:D166,D166),"000")</f>
        <v>STATIM-UW-Health-006</v>
      </c>
      <c r="C166" s="5" t="s">
        <v>8</v>
      </c>
      <c r="D166" s="5" t="s">
        <v>288</v>
      </c>
      <c r="E166" s="5" t="s">
        <v>17</v>
      </c>
      <c r="F166" s="5" t="s">
        <v>293</v>
      </c>
      <c r="G166" s="9" t="s">
        <v>297</v>
      </c>
      <c r="H166" s="5" t="s">
        <v>25</v>
      </c>
    </row>
    <row r="167" spans="1:8" ht="75" x14ac:dyDescent="0.25">
      <c r="A167" s="5">
        <v>166</v>
      </c>
      <c r="B167" s="5" t="str">
        <f>"STATIM-"&amp;C167&amp;"-"&amp;D167&amp;"-"&amp;TEXT(COUNTIFS($C$2:C167,C167,$D$2:D167,D167),"000")</f>
        <v>STATIM-UW-Health-007</v>
      </c>
      <c r="C167" s="5" t="s">
        <v>8</v>
      </c>
      <c r="D167" s="5" t="s">
        <v>288</v>
      </c>
      <c r="E167" s="5" t="s">
        <v>77</v>
      </c>
      <c r="F167" s="5" t="s">
        <v>77</v>
      </c>
      <c r="G167" s="16" t="s">
        <v>298</v>
      </c>
      <c r="H167" s="5" t="s">
        <v>13</v>
      </c>
    </row>
    <row r="168" spans="1:8" ht="75" x14ac:dyDescent="0.25">
      <c r="A168" s="5">
        <v>167</v>
      </c>
      <c r="B168" s="5" t="str">
        <f>"STATIM-"&amp;C168&amp;"-"&amp;D168&amp;"-"&amp;TEXT(COUNTIFS($C$2:C168,C168,$D$2:D168,D168),"000")</f>
        <v>STATIM-UW-Health-008</v>
      </c>
      <c r="C168" s="5" t="s">
        <v>8</v>
      </c>
      <c r="D168" s="5" t="s">
        <v>288</v>
      </c>
      <c r="E168" s="5" t="s">
        <v>17</v>
      </c>
      <c r="F168" s="5" t="s">
        <v>293</v>
      </c>
      <c r="G168" s="7" t="s">
        <v>299</v>
      </c>
      <c r="H168" s="5" t="s">
        <v>25</v>
      </c>
    </row>
    <row r="169" spans="1:8" ht="45" x14ac:dyDescent="0.25">
      <c r="A169" s="5">
        <v>168</v>
      </c>
      <c r="B169" s="5" t="str">
        <f>"STATIM-"&amp;C169&amp;"-"&amp;D169&amp;"-"&amp;TEXT(COUNTIFS($C$2:C169,C169,$D$2:D169,D169),"000")</f>
        <v>STATIM-UW-Health-009</v>
      </c>
      <c r="C169" s="5" t="s">
        <v>8</v>
      </c>
      <c r="D169" s="5" t="s">
        <v>288</v>
      </c>
      <c r="E169" s="5" t="s">
        <v>17</v>
      </c>
      <c r="F169" s="5" t="s">
        <v>293</v>
      </c>
      <c r="G169" s="7" t="s">
        <v>300</v>
      </c>
      <c r="H169" s="5" t="s">
        <v>25</v>
      </c>
    </row>
    <row r="170" spans="1:8" ht="75" x14ac:dyDescent="0.25">
      <c r="A170" s="5">
        <v>169</v>
      </c>
      <c r="B170" s="5" t="str">
        <f>"STATIM-"&amp;C170&amp;"-"&amp;D170&amp;"-"&amp;TEXT(COUNTIFS($C$2:C170,C170,$D$2:D170,D170),"000")</f>
        <v>STATIM-UW-Health-010</v>
      </c>
      <c r="C170" s="5" t="s">
        <v>8</v>
      </c>
      <c r="D170" s="5" t="s">
        <v>288</v>
      </c>
      <c r="E170" s="5" t="s">
        <v>17</v>
      </c>
      <c r="F170" s="5" t="s">
        <v>293</v>
      </c>
      <c r="G170" s="7" t="s">
        <v>301</v>
      </c>
      <c r="H170" s="5" t="s">
        <v>25</v>
      </c>
    </row>
    <row r="171" spans="1:8" x14ac:dyDescent="0.25">
      <c r="A171" s="5">
        <v>170</v>
      </c>
      <c r="B171" s="5" t="str">
        <f>"STATIM-"&amp;C171&amp;"-"&amp;D171&amp;"-"&amp;TEXT(COUNTIFS($C$2:C171,C171,$D$2:D171,D171),"000")</f>
        <v>STATIM-UW-Health-011</v>
      </c>
      <c r="C171" s="5" t="s">
        <v>8</v>
      </c>
      <c r="D171" s="5" t="s">
        <v>288</v>
      </c>
      <c r="E171" s="5" t="s">
        <v>17</v>
      </c>
      <c r="F171" s="5" t="s">
        <v>79</v>
      </c>
      <c r="G171" s="7" t="s">
        <v>302</v>
      </c>
      <c r="H171" s="5" t="s">
        <v>13</v>
      </c>
    </row>
    <row r="172" spans="1:8" ht="45" x14ac:dyDescent="0.25">
      <c r="A172" s="5">
        <v>171</v>
      </c>
      <c r="B172" s="5" t="str">
        <f>"STATIM-"&amp;C172&amp;"-"&amp;D172&amp;"-"&amp;TEXT(COUNTIFS($C$2:C172,C172,$D$2:D172,D172),"000")</f>
        <v>STATIM-Reinsurance-Health-001</v>
      </c>
      <c r="C172" s="5" t="s">
        <v>90</v>
      </c>
      <c r="D172" s="5" t="s">
        <v>288</v>
      </c>
      <c r="E172" s="5" t="s">
        <v>90</v>
      </c>
      <c r="F172" s="5" t="s">
        <v>222</v>
      </c>
      <c r="G172" s="7" t="s">
        <v>303</v>
      </c>
      <c r="H172" s="5" t="s">
        <v>13</v>
      </c>
    </row>
    <row r="173" spans="1:8" ht="75" x14ac:dyDescent="0.25">
      <c r="A173" s="5">
        <v>172</v>
      </c>
      <c r="B173" s="5" t="str">
        <f>"STATIM-"&amp;C173&amp;"-"&amp;D173&amp;"-"&amp;TEXT(COUNTIFS($C$2:C173,C173,$D$2:D173,D173),"000")</f>
        <v>STATIM-Reinsurance-Health-002</v>
      </c>
      <c r="C173" s="5" t="s">
        <v>90</v>
      </c>
      <c r="D173" s="5" t="s">
        <v>288</v>
      </c>
      <c r="E173" s="5" t="s">
        <v>90</v>
      </c>
      <c r="F173" s="5" t="s">
        <v>293</v>
      </c>
      <c r="G173" s="9" t="s">
        <v>304</v>
      </c>
      <c r="H173" s="14" t="s">
        <v>268</v>
      </c>
    </row>
    <row r="174" spans="1:8" ht="45" x14ac:dyDescent="0.25">
      <c r="A174" s="5">
        <v>173</v>
      </c>
      <c r="B174" s="5" t="str">
        <f>"STATIM-"&amp;C174&amp;"-"&amp;D174&amp;"-"&amp;TEXT(COUNTIFS($C$2:C174,C174,$D$2:D174,D174),"000")</f>
        <v>STATIM-UW-Health-012</v>
      </c>
      <c r="C174" s="5" t="s">
        <v>8</v>
      </c>
      <c r="D174" s="5" t="s">
        <v>288</v>
      </c>
      <c r="E174" s="5" t="s">
        <v>17</v>
      </c>
      <c r="F174" s="5" t="s">
        <v>293</v>
      </c>
      <c r="G174" s="7" t="s">
        <v>305</v>
      </c>
      <c r="H174" s="5" t="s">
        <v>25</v>
      </c>
    </row>
    <row r="175" spans="1:8" ht="75" x14ac:dyDescent="0.25">
      <c r="A175" s="5">
        <v>174</v>
      </c>
      <c r="B175" s="5" t="str">
        <f>"STATIM-"&amp;C175&amp;"-"&amp;D175&amp;"-"&amp;TEXT(COUNTIFS($C$2:C175,C175,$D$2:D175,D175),"000")</f>
        <v>STATIM-UW-Health-013</v>
      </c>
      <c r="C175" s="5" t="s">
        <v>8</v>
      </c>
      <c r="D175" s="5" t="s">
        <v>288</v>
      </c>
      <c r="E175" s="5" t="s">
        <v>17</v>
      </c>
      <c r="F175" s="5" t="s">
        <v>293</v>
      </c>
      <c r="G175" s="7" t="s">
        <v>306</v>
      </c>
      <c r="H175" s="14" t="s">
        <v>268</v>
      </c>
    </row>
    <row r="176" spans="1:8" ht="30" x14ac:dyDescent="0.25">
      <c r="A176" s="5">
        <v>175</v>
      </c>
      <c r="B176" s="5" t="str">
        <f>"STATIM-"&amp;C176&amp;"-"&amp;D176&amp;"-"&amp;TEXT(COUNTIFS($C$2:C176,C176,$D$2:D176,D176),"000")</f>
        <v>STATIM-UW-Health-014</v>
      </c>
      <c r="C176" s="5" t="s">
        <v>8</v>
      </c>
      <c r="D176" s="5" t="s">
        <v>288</v>
      </c>
      <c r="E176" s="5" t="s">
        <v>17</v>
      </c>
      <c r="F176" s="5" t="s">
        <v>293</v>
      </c>
      <c r="G176" s="7" t="s">
        <v>307</v>
      </c>
      <c r="H176" s="5" t="s">
        <v>25</v>
      </c>
    </row>
    <row r="177" spans="1:8" ht="45" x14ac:dyDescent="0.25">
      <c r="A177" s="5">
        <v>176</v>
      </c>
      <c r="B177" s="5" t="str">
        <f>"STATIM-"&amp;C177&amp;"-"&amp;D177&amp;"-"&amp;TEXT(COUNTIFS($C$2:C177,C177,$D$2:D177,D177),"000")</f>
        <v>STATIM-UW-Health-015</v>
      </c>
      <c r="C177" s="5" t="s">
        <v>8</v>
      </c>
      <c r="D177" s="5" t="s">
        <v>288</v>
      </c>
      <c r="E177" s="5" t="s">
        <v>17</v>
      </c>
      <c r="F177" s="5" t="s">
        <v>293</v>
      </c>
      <c r="G177" s="7" t="s">
        <v>308</v>
      </c>
      <c r="H177" s="5" t="s">
        <v>25</v>
      </c>
    </row>
    <row r="178" spans="1:8" ht="30" x14ac:dyDescent="0.25">
      <c r="A178" s="5">
        <v>177</v>
      </c>
      <c r="B178" s="5" t="str">
        <f>"STATIM-"&amp;C178&amp;"-"&amp;D178&amp;"-"&amp;TEXT(COUNTIFS($C$2:C178,C178,$D$2:D178,D178),"000")</f>
        <v>STATIM-UW-Health-016</v>
      </c>
      <c r="C178" s="5" t="s">
        <v>8</v>
      </c>
      <c r="D178" s="5" t="s">
        <v>288</v>
      </c>
      <c r="E178" s="5" t="s">
        <v>17</v>
      </c>
      <c r="F178" s="5" t="s">
        <v>293</v>
      </c>
      <c r="G178" s="7" t="s">
        <v>309</v>
      </c>
      <c r="H178" s="5" t="s">
        <v>25</v>
      </c>
    </row>
    <row r="179" spans="1:8" x14ac:dyDescent="0.25">
      <c r="A179" s="5">
        <v>178</v>
      </c>
      <c r="B179" s="5" t="str">
        <f>"STATIM-"&amp;C179&amp;"-"&amp;D179&amp;"-"&amp;TEXT(COUNTIFS($C$2:C179,C179,$D$2:D179,D179),"000")</f>
        <v>STATIM-UW-Health-017</v>
      </c>
      <c r="C179" s="5" t="s">
        <v>8</v>
      </c>
      <c r="D179" s="5" t="s">
        <v>288</v>
      </c>
      <c r="E179" s="5" t="s">
        <v>17</v>
      </c>
      <c r="F179" s="5" t="s">
        <v>293</v>
      </c>
      <c r="G179" s="7" t="s">
        <v>310</v>
      </c>
      <c r="H179" s="5" t="s">
        <v>30</v>
      </c>
    </row>
    <row r="180" spans="1:8" ht="30" x14ac:dyDescent="0.25">
      <c r="A180" s="5">
        <v>179</v>
      </c>
      <c r="B180" s="5" t="str">
        <f>"STATIM-"&amp;C180&amp;"-"&amp;D180&amp;"-"&amp;TEXT(COUNTIFS($C$2:C180,C180,$D$2:D180,D180),"000")</f>
        <v>STATIM-UW-Health-018</v>
      </c>
      <c r="C180" s="5" t="s">
        <v>8</v>
      </c>
      <c r="D180" s="5" t="s">
        <v>288</v>
      </c>
      <c r="E180" s="5" t="s">
        <v>17</v>
      </c>
      <c r="F180" s="5" t="s">
        <v>293</v>
      </c>
      <c r="G180" s="7" t="s">
        <v>311</v>
      </c>
      <c r="H180" s="5" t="s">
        <v>13</v>
      </c>
    </row>
    <row r="181" spans="1:8" ht="60" x14ac:dyDescent="0.25">
      <c r="A181" s="5">
        <v>180</v>
      </c>
      <c r="B181" s="5" t="str">
        <f>"STATIM-"&amp;C181&amp;"-"&amp;D181&amp;"-"&amp;TEXT(COUNTIFS($C$2:C181,C181,$D$2:D181,D181),"000")</f>
        <v>STATIM-UW-Health-019</v>
      </c>
      <c r="C181" s="5" t="s">
        <v>8</v>
      </c>
      <c r="D181" s="5" t="s">
        <v>288</v>
      </c>
      <c r="E181" s="5" t="s">
        <v>17</v>
      </c>
      <c r="F181" s="5" t="s">
        <v>293</v>
      </c>
      <c r="G181" s="7" t="s">
        <v>312</v>
      </c>
      <c r="H181" s="14" t="s">
        <v>268</v>
      </c>
    </row>
    <row r="182" spans="1:8" ht="60" x14ac:dyDescent="0.25">
      <c r="A182" s="5">
        <v>181</v>
      </c>
      <c r="B182" s="5" t="str">
        <f>"STATIM-"&amp;C182&amp;"-"&amp;D182&amp;"-"&amp;TEXT(COUNTIFS($C$2:C182,C182,$D$2:D182,D182),"000")</f>
        <v>STATIM-UW-Health-020</v>
      </c>
      <c r="C182" s="5" t="s">
        <v>8</v>
      </c>
      <c r="D182" s="5" t="s">
        <v>288</v>
      </c>
      <c r="E182" s="5" t="s">
        <v>17</v>
      </c>
      <c r="F182" s="5" t="s">
        <v>313</v>
      </c>
      <c r="G182" s="7" t="s">
        <v>314</v>
      </c>
      <c r="H182" s="5" t="s">
        <v>13</v>
      </c>
    </row>
    <row r="183" spans="1:8" ht="30" x14ac:dyDescent="0.25">
      <c r="A183" s="5">
        <v>182</v>
      </c>
      <c r="B183" s="5" t="str">
        <f>"STATIM-"&amp;C183&amp;"-"&amp;D183&amp;"-"&amp;TEXT(COUNTIFS($C$2:C183,C183,$D$2:D183,D183),"000")</f>
        <v>STATIM-UW-Health-021</v>
      </c>
      <c r="C183" s="5" t="s">
        <v>8</v>
      </c>
      <c r="D183" s="5" t="s">
        <v>288</v>
      </c>
      <c r="E183" s="5" t="s">
        <v>17</v>
      </c>
      <c r="F183" s="5" t="s">
        <v>313</v>
      </c>
      <c r="G183" s="7" t="s">
        <v>315</v>
      </c>
      <c r="H183" s="5" t="s">
        <v>13</v>
      </c>
    </row>
    <row r="184" spans="1:8" ht="75" x14ac:dyDescent="0.25">
      <c r="A184" s="5">
        <v>183</v>
      </c>
      <c r="B184" s="5" t="str">
        <f>"STATIM-"&amp;C184&amp;"-"&amp;D184&amp;"-"&amp;TEXT(COUNTIFS($C$2:C184,C184,$D$2:D184,D184),"000")</f>
        <v>STATIM-UW-Health-022</v>
      </c>
      <c r="C184" s="5" t="s">
        <v>8</v>
      </c>
      <c r="D184" s="5" t="s">
        <v>288</v>
      </c>
      <c r="E184" s="5" t="s">
        <v>17</v>
      </c>
      <c r="F184" s="5" t="s">
        <v>316</v>
      </c>
      <c r="G184" s="7" t="s">
        <v>317</v>
      </c>
      <c r="H184" s="5" t="s">
        <v>30</v>
      </c>
    </row>
    <row r="185" spans="1:8" ht="90" x14ac:dyDescent="0.25">
      <c r="A185" s="5">
        <v>184</v>
      </c>
      <c r="B185" s="5" t="str">
        <f>"STATIM-"&amp;C185&amp;"-"&amp;D185&amp;"-"&amp;TEXT(COUNTIFS($C$2:C185,C185,$D$2:D185,D185),"000")</f>
        <v>STATIM-UW-Health-023</v>
      </c>
      <c r="C185" s="5" t="s">
        <v>8</v>
      </c>
      <c r="D185" s="5" t="s">
        <v>288</v>
      </c>
      <c r="E185" s="5" t="s">
        <v>17</v>
      </c>
      <c r="F185" s="5" t="s">
        <v>316</v>
      </c>
      <c r="G185" s="9" t="s">
        <v>318</v>
      </c>
      <c r="H185" s="5" t="s">
        <v>13</v>
      </c>
    </row>
    <row r="186" spans="1:8" ht="90" x14ac:dyDescent="0.25">
      <c r="A186" s="5">
        <v>185</v>
      </c>
      <c r="B186" s="5" t="str">
        <f>"STATIM-"&amp;C186&amp;"-"&amp;D186&amp;"-"&amp;TEXT(COUNTIFS($C$2:C186,C186,$D$2:D186,D186),"000")</f>
        <v>STATIM-UW-Marine-001</v>
      </c>
      <c r="C186" s="5" t="s">
        <v>8</v>
      </c>
      <c r="D186" s="5" t="s">
        <v>194</v>
      </c>
      <c r="E186" s="5" t="s">
        <v>17</v>
      </c>
      <c r="F186" s="5" t="s">
        <v>319</v>
      </c>
      <c r="G186" s="7" t="s">
        <v>320</v>
      </c>
      <c r="H186" s="5" t="s">
        <v>13</v>
      </c>
    </row>
    <row r="187" spans="1:8" ht="60" x14ac:dyDescent="0.25">
      <c r="A187" s="5">
        <v>186</v>
      </c>
      <c r="B187" s="5" t="str">
        <f>"STATIM-"&amp;C187&amp;"-"&amp;D187&amp;"-"&amp;TEXT(COUNTIFS($C$2:C187,C187,$D$2:D187,D187),"000")</f>
        <v>STATIM-UW-Marine-002</v>
      </c>
      <c r="C187" s="5" t="s">
        <v>8</v>
      </c>
      <c r="D187" s="5" t="s">
        <v>194</v>
      </c>
      <c r="E187" s="5" t="s">
        <v>17</v>
      </c>
      <c r="F187" s="5" t="s">
        <v>321</v>
      </c>
      <c r="G187" s="7" t="s">
        <v>322</v>
      </c>
      <c r="H187" s="5" t="s">
        <v>13</v>
      </c>
    </row>
    <row r="188" spans="1:8" ht="30" x14ac:dyDescent="0.25">
      <c r="A188" s="5">
        <v>187</v>
      </c>
      <c r="B188" s="5" t="str">
        <f>"STATIM-"&amp;C188&amp;"-"&amp;D188&amp;"-"&amp;TEXT(COUNTIFS($C$2:C188,C188,$D$2:D188,D188),"000")</f>
        <v>STATIM-UW-Marine-003</v>
      </c>
      <c r="C188" s="5" t="s">
        <v>8</v>
      </c>
      <c r="D188" s="5" t="s">
        <v>194</v>
      </c>
      <c r="E188" s="5" t="s">
        <v>17</v>
      </c>
      <c r="F188" s="5" t="s">
        <v>321</v>
      </c>
      <c r="G188" s="7" t="s">
        <v>323</v>
      </c>
      <c r="H188" s="5" t="s">
        <v>20</v>
      </c>
    </row>
    <row r="189" spans="1:8" ht="135" x14ac:dyDescent="0.25">
      <c r="A189" s="5">
        <v>188</v>
      </c>
      <c r="B189" s="5" t="str">
        <f>"STATIM-"&amp;C189&amp;"-"&amp;D189&amp;"-"&amp;TEXT(COUNTIFS($C$2:C189,C189,$D$2:D189,D189),"000")</f>
        <v>STATIM-UW-Marine-004</v>
      </c>
      <c r="C189" s="5" t="s">
        <v>8</v>
      </c>
      <c r="D189" s="5" t="s">
        <v>194</v>
      </c>
      <c r="E189" s="5" t="s">
        <v>17</v>
      </c>
      <c r="F189" s="5" t="s">
        <v>324</v>
      </c>
      <c r="G189" s="13" t="s">
        <v>325</v>
      </c>
      <c r="H189" s="5" t="s">
        <v>13</v>
      </c>
    </row>
    <row r="190" spans="1:8" ht="75" x14ac:dyDescent="0.25">
      <c r="A190" s="5">
        <v>189</v>
      </c>
      <c r="B190" s="5" t="str">
        <f>"STATIM-"&amp;C190&amp;"-"&amp;D190&amp;"-"&amp;TEXT(COUNTIFS($C$2:C190,C190,$D$2:D190,D190),"000")</f>
        <v>STATIM-UW-Marine-005</v>
      </c>
      <c r="C190" s="5" t="s">
        <v>8</v>
      </c>
      <c r="D190" s="5" t="s">
        <v>194</v>
      </c>
      <c r="E190" s="5" t="s">
        <v>17</v>
      </c>
      <c r="F190" s="5" t="s">
        <v>326</v>
      </c>
      <c r="G190" s="9" t="s">
        <v>327</v>
      </c>
      <c r="H190" s="14" t="s">
        <v>43</v>
      </c>
    </row>
    <row r="191" spans="1:8" ht="30" x14ac:dyDescent="0.25">
      <c r="A191" s="5">
        <v>190</v>
      </c>
      <c r="B191" s="5" t="str">
        <f>"STATIM-"&amp;C191&amp;"-"&amp;D191&amp;"-"&amp;TEXT(COUNTIFS($C$2:C191,C191,$D$2:D191,D191),"000")</f>
        <v>STATIM-UW-Marine-006</v>
      </c>
      <c r="C191" s="5" t="s">
        <v>8</v>
      </c>
      <c r="D191" s="5" t="s">
        <v>194</v>
      </c>
      <c r="E191" s="5" t="s">
        <v>17</v>
      </c>
      <c r="F191" s="5" t="s">
        <v>328</v>
      </c>
      <c r="G191" s="7" t="s">
        <v>329</v>
      </c>
      <c r="H191" s="14" t="s">
        <v>13</v>
      </c>
    </row>
    <row r="192" spans="1:8" ht="120" x14ac:dyDescent="0.25">
      <c r="A192" s="5">
        <v>191</v>
      </c>
      <c r="B192" s="5" t="str">
        <f>"STATIM-"&amp;C192&amp;"-"&amp;D192&amp;"-"&amp;TEXT(COUNTIFS($C$2:C192,C192,$D$2:D192,D192),"000")</f>
        <v>STATIM-UW-Marine-007</v>
      </c>
      <c r="C192" s="5" t="s">
        <v>8</v>
      </c>
      <c r="D192" s="5" t="s">
        <v>194</v>
      </c>
      <c r="E192" s="5" t="s">
        <v>17</v>
      </c>
      <c r="F192" s="5" t="s">
        <v>330</v>
      </c>
      <c r="G192" s="7" t="s">
        <v>331</v>
      </c>
      <c r="H192" s="5" t="s">
        <v>13</v>
      </c>
    </row>
    <row r="193" spans="1:8" ht="30" x14ac:dyDescent="0.25">
      <c r="A193" s="5">
        <v>192</v>
      </c>
      <c r="B193" s="5" t="str">
        <f>"STATIM-"&amp;C193&amp;"-"&amp;D193&amp;"-"&amp;TEXT(COUNTIFS($C$2:C193,C193,$D$2:D193,D193),"000")</f>
        <v>STATIM-UW-Marine-008</v>
      </c>
      <c r="C193" s="5" t="s">
        <v>8</v>
      </c>
      <c r="D193" s="5" t="s">
        <v>194</v>
      </c>
      <c r="E193" s="5" t="s">
        <v>17</v>
      </c>
      <c r="F193" s="5" t="s">
        <v>332</v>
      </c>
      <c r="G193" s="7" t="s">
        <v>333</v>
      </c>
      <c r="H193" s="5" t="s">
        <v>43</v>
      </c>
    </row>
    <row r="194" spans="1:8" ht="60" x14ac:dyDescent="0.25">
      <c r="A194" s="5">
        <v>193</v>
      </c>
      <c r="B194" s="5" t="str">
        <f>"STATIM-"&amp;C194&amp;"-"&amp;D194&amp;"-"&amp;TEXT(COUNTIFS($C$2:C194,C194,$D$2:D194,D194),"000")</f>
        <v>STATIM-UW-Marine-009</v>
      </c>
      <c r="C194" s="5" t="s">
        <v>8</v>
      </c>
      <c r="D194" s="5" t="s">
        <v>194</v>
      </c>
      <c r="E194" s="5" t="s">
        <v>17</v>
      </c>
      <c r="F194" s="5" t="s">
        <v>334</v>
      </c>
      <c r="G194" s="7" t="s">
        <v>335</v>
      </c>
      <c r="H194" s="5" t="s">
        <v>43</v>
      </c>
    </row>
    <row r="195" spans="1:8" ht="30" x14ac:dyDescent="0.25">
      <c r="A195" s="5">
        <v>194</v>
      </c>
      <c r="B195" s="5" t="str">
        <f>"STATIM-"&amp;C195&amp;"-"&amp;D195&amp;"-"&amp;TEXT(COUNTIFS($C$2:C195,C195,$D$2:D195,D195),"000")</f>
        <v>STATIM-UW-Marine-010</v>
      </c>
      <c r="C195" s="5" t="s">
        <v>8</v>
      </c>
      <c r="D195" s="5" t="s">
        <v>194</v>
      </c>
      <c r="E195" s="5" t="s">
        <v>17</v>
      </c>
      <c r="F195" s="5" t="s">
        <v>319</v>
      </c>
      <c r="G195" s="7" t="s">
        <v>336</v>
      </c>
      <c r="H195" s="5" t="s">
        <v>13</v>
      </c>
    </row>
    <row r="196" spans="1:8" x14ac:dyDescent="0.25">
      <c r="A196" s="5">
        <v>195</v>
      </c>
      <c r="B196" s="5" t="str">
        <f>"STATIM-"&amp;C196&amp;"-"&amp;D196&amp;"-"&amp;TEXT(COUNTIFS($C$2:C196,C196,$D$2:D196,D196),"000")</f>
        <v>STATIM-UW-Marine-011</v>
      </c>
      <c r="C196" s="5" t="s">
        <v>8</v>
      </c>
      <c r="D196" s="5" t="s">
        <v>194</v>
      </c>
      <c r="E196" s="5" t="s">
        <v>17</v>
      </c>
      <c r="F196" s="5" t="s">
        <v>337</v>
      </c>
      <c r="G196" s="7" t="s">
        <v>338</v>
      </c>
      <c r="H196" s="5" t="s">
        <v>13</v>
      </c>
    </row>
    <row r="197" spans="1:8" x14ac:dyDescent="0.25">
      <c r="A197" s="5">
        <v>196</v>
      </c>
      <c r="B197" s="5" t="str">
        <f>"STATIM-"&amp;C197&amp;"-"&amp;D197&amp;"-"&amp;TEXT(COUNTIFS($C$2:C197,C197,$D$2:D197,D197),"000")</f>
        <v>STATIM-UW-Marine-012</v>
      </c>
      <c r="C197" s="5" t="s">
        <v>8</v>
      </c>
      <c r="D197" s="5" t="s">
        <v>194</v>
      </c>
      <c r="E197" s="5" t="s">
        <v>17</v>
      </c>
      <c r="F197" s="5" t="s">
        <v>339</v>
      </c>
      <c r="G197" s="7" t="s">
        <v>340</v>
      </c>
      <c r="H197" s="5" t="s">
        <v>13</v>
      </c>
    </row>
    <row r="198" spans="1:8" ht="120" x14ac:dyDescent="0.25">
      <c r="A198" s="5">
        <v>197</v>
      </c>
      <c r="B198" s="5" t="str">
        <f>"STATIM-"&amp;C198&amp;"-"&amp;D198&amp;"-"&amp;TEXT(COUNTIFS($C$2:C198,C198,$D$2:D198,D198),"000")</f>
        <v>STATIM-UW-Marine-013</v>
      </c>
      <c r="C198" s="5" t="s">
        <v>8</v>
      </c>
      <c r="D198" s="5" t="s">
        <v>194</v>
      </c>
      <c r="E198" s="5" t="s">
        <v>88</v>
      </c>
      <c r="F198" s="5" t="s">
        <v>88</v>
      </c>
      <c r="G198" s="7" t="s">
        <v>341</v>
      </c>
      <c r="H198" s="5" t="s">
        <v>13</v>
      </c>
    </row>
    <row r="199" spans="1:8" ht="45" x14ac:dyDescent="0.25">
      <c r="A199" s="5">
        <v>198</v>
      </c>
      <c r="B199" s="5" t="str">
        <f>"STATIM-"&amp;C199&amp;"-"&amp;D199&amp;"-"&amp;TEXT(COUNTIFS($C$2:C199,C199,$D$2:D199,D199),"000")</f>
        <v>STATIM-UW-Marine-014</v>
      </c>
      <c r="C199" s="5" t="s">
        <v>8</v>
      </c>
      <c r="D199" s="5" t="s">
        <v>194</v>
      </c>
      <c r="E199" s="5" t="s">
        <v>88</v>
      </c>
      <c r="F199" s="5" t="s">
        <v>88</v>
      </c>
      <c r="G199" s="7" t="s">
        <v>342</v>
      </c>
      <c r="H199" s="14" t="s">
        <v>13</v>
      </c>
    </row>
    <row r="200" spans="1:8" ht="30" x14ac:dyDescent="0.25">
      <c r="A200" s="5">
        <v>199</v>
      </c>
      <c r="B200" s="5" t="str">
        <f>"STATIM-"&amp;C200&amp;"-"&amp;D200&amp;"-"&amp;TEXT(COUNTIFS($C$2:C200,C200,$D$2:D200,D200),"000")</f>
        <v>STATIM-UW-Marine-015</v>
      </c>
      <c r="C200" s="5" t="s">
        <v>8</v>
      </c>
      <c r="D200" s="5" t="s">
        <v>194</v>
      </c>
      <c r="E200" s="5" t="s">
        <v>88</v>
      </c>
      <c r="F200" s="5" t="s">
        <v>88</v>
      </c>
      <c r="G200" s="7" t="s">
        <v>343</v>
      </c>
      <c r="H200" s="5" t="s">
        <v>20</v>
      </c>
    </row>
    <row r="201" spans="1:8" ht="30" x14ac:dyDescent="0.25">
      <c r="A201" s="5">
        <v>200</v>
      </c>
      <c r="B201" s="5" t="str">
        <f>"STATIM-"&amp;C201&amp;"-"&amp;D201&amp;"-"&amp;TEXT(COUNTIFS($C$2:C201,C201,$D$2:D201,D201),"000")</f>
        <v>STATIM-UW-Marine-016</v>
      </c>
      <c r="C201" s="5" t="s">
        <v>8</v>
      </c>
      <c r="D201" s="5" t="s">
        <v>194</v>
      </c>
      <c r="E201" s="5" t="s">
        <v>17</v>
      </c>
      <c r="F201" s="5" t="s">
        <v>265</v>
      </c>
      <c r="G201" s="9" t="s">
        <v>344</v>
      </c>
      <c r="H201" s="5" t="s">
        <v>20</v>
      </c>
    </row>
    <row r="202" spans="1:8" ht="75" x14ac:dyDescent="0.25">
      <c r="A202" s="5">
        <v>201</v>
      </c>
      <c r="B202" s="5" t="str">
        <f>"STATIM-"&amp;C202&amp;"-"&amp;D202&amp;"-"&amp;TEXT(COUNTIFS($C$2:C202,C202,$D$2:D202,D202),"000")</f>
        <v>STATIM-UW-Marine-017</v>
      </c>
      <c r="C202" s="5" t="s">
        <v>8</v>
      </c>
      <c r="D202" s="5" t="s">
        <v>194</v>
      </c>
      <c r="E202" s="5" t="s">
        <v>88</v>
      </c>
      <c r="F202" s="5" t="s">
        <v>88</v>
      </c>
      <c r="G202" s="9" t="s">
        <v>345</v>
      </c>
      <c r="H202" s="5" t="s">
        <v>43</v>
      </c>
    </row>
    <row r="203" spans="1:8" ht="135" x14ac:dyDescent="0.25">
      <c r="A203" s="5">
        <v>202</v>
      </c>
      <c r="B203" s="5" t="str">
        <f>"STATIM-"&amp;C203&amp;"-"&amp;D203&amp;"-"&amp;TEXT(COUNTIFS($C$2:C203,C203,$D$2:D203,D203),"000")</f>
        <v>STATIM-UW-Marine-018</v>
      </c>
      <c r="C203" s="5" t="s">
        <v>8</v>
      </c>
      <c r="D203" s="5" t="s">
        <v>194</v>
      </c>
      <c r="E203" s="5" t="s">
        <v>88</v>
      </c>
      <c r="F203" s="5" t="s">
        <v>88</v>
      </c>
      <c r="G203" s="7" t="s">
        <v>346</v>
      </c>
      <c r="H203" s="14" t="s">
        <v>43</v>
      </c>
    </row>
    <row r="204" spans="1:8" ht="45" x14ac:dyDescent="0.25">
      <c r="A204" s="5">
        <v>203</v>
      </c>
      <c r="B204" s="5" t="str">
        <f>"STATIM-"&amp;C204&amp;"-"&amp;D204&amp;"-"&amp;TEXT(COUNTIFS($C$2:C204,C204,$D$2:D204,D204),"000")</f>
        <v>STATIM-UW-Marine-019</v>
      </c>
      <c r="C204" s="5" t="s">
        <v>8</v>
      </c>
      <c r="D204" s="5" t="s">
        <v>194</v>
      </c>
      <c r="E204" s="5" t="s">
        <v>88</v>
      </c>
      <c r="F204" s="5" t="s">
        <v>88</v>
      </c>
      <c r="G204" s="9" t="s">
        <v>347</v>
      </c>
      <c r="H204" s="5" t="s">
        <v>20</v>
      </c>
    </row>
    <row r="205" spans="1:8" x14ac:dyDescent="0.25">
      <c r="A205" s="5">
        <v>204</v>
      </c>
      <c r="B205" s="5" t="str">
        <f>"STATIM-"&amp;C205&amp;"-"&amp;D205&amp;"-"&amp;TEXT(COUNTIFS($C$2:C205,C205,$D$2:D205,D205),"000")</f>
        <v>STATIM-Claims-Marine-004</v>
      </c>
      <c r="C205" s="5" t="s">
        <v>95</v>
      </c>
      <c r="D205" s="5" t="s">
        <v>194</v>
      </c>
      <c r="E205" s="5" t="s">
        <v>95</v>
      </c>
      <c r="F205" s="5" t="s">
        <v>95</v>
      </c>
      <c r="G205" s="7" t="s">
        <v>348</v>
      </c>
      <c r="H205" s="5" t="s">
        <v>13</v>
      </c>
    </row>
    <row r="206" spans="1:8" x14ac:dyDescent="0.25">
      <c r="A206" s="5">
        <v>205</v>
      </c>
      <c r="B206" s="5" t="str">
        <f>"STATIM-"&amp;C206&amp;"-"&amp;D206&amp;"-"&amp;TEXT(COUNTIFS($C$2:C206,C206,$D$2:D206,D206),"000")</f>
        <v>STATIM-Claims-Marine-005</v>
      </c>
      <c r="C206" s="5" t="s">
        <v>95</v>
      </c>
      <c r="D206" s="5" t="s">
        <v>194</v>
      </c>
      <c r="E206" s="5" t="s">
        <v>95</v>
      </c>
      <c r="F206" s="5" t="s">
        <v>95</v>
      </c>
      <c r="G206" s="7" t="s">
        <v>349</v>
      </c>
      <c r="H206" s="5" t="s">
        <v>20</v>
      </c>
    </row>
    <row r="207" spans="1:8" x14ac:dyDescent="0.25">
      <c r="A207" s="5">
        <v>206</v>
      </c>
      <c r="B207" s="5" t="str">
        <f>"STATIM-"&amp;C207&amp;"-"&amp;D207&amp;"-"&amp;TEXT(COUNTIFS($C$2:C207,C207,$D$2:D207,D207),"000")</f>
        <v>STATIM-Claims-Marine-006</v>
      </c>
      <c r="C207" s="5" t="s">
        <v>95</v>
      </c>
      <c r="D207" s="5" t="s">
        <v>194</v>
      </c>
      <c r="E207" s="5" t="s">
        <v>95</v>
      </c>
      <c r="F207" s="5" t="s">
        <v>95</v>
      </c>
      <c r="G207" s="7" t="s">
        <v>350</v>
      </c>
      <c r="H207" s="5" t="s">
        <v>20</v>
      </c>
    </row>
    <row r="208" spans="1:8" ht="30" x14ac:dyDescent="0.25">
      <c r="A208" s="5">
        <v>207</v>
      </c>
      <c r="B208" s="5" t="str">
        <f>"STATIM-"&amp;C208&amp;"-"&amp;D208&amp;"-"&amp;TEXT(COUNTIFS($C$2:C208,C208,$D$2:D208,D208),"000")</f>
        <v>STATIM-UW-Health-024</v>
      </c>
      <c r="C208" s="5" t="s">
        <v>8</v>
      </c>
      <c r="D208" s="5" t="s">
        <v>288</v>
      </c>
      <c r="E208" s="5" t="s">
        <v>17</v>
      </c>
      <c r="F208" s="5" t="s">
        <v>18</v>
      </c>
      <c r="G208" s="9" t="s">
        <v>351</v>
      </c>
      <c r="H208" s="5" t="s">
        <v>13</v>
      </c>
    </row>
    <row r="209" spans="1:8" ht="60" x14ac:dyDescent="0.25">
      <c r="A209" s="5">
        <v>208</v>
      </c>
      <c r="B209" s="5" t="str">
        <f>"STATIM-"&amp;C209&amp;"-"&amp;D209&amp;"-"&amp;TEXT(COUNTIFS($C$2:C209,C209,$D$2:D209,D209),"000")</f>
        <v>STATIM-UW-Health-025</v>
      </c>
      <c r="C209" s="5" t="s">
        <v>8</v>
      </c>
      <c r="D209" s="5" t="s">
        <v>288</v>
      </c>
      <c r="E209" s="5" t="s">
        <v>17</v>
      </c>
      <c r="F209" s="5" t="s">
        <v>319</v>
      </c>
      <c r="G209" s="7" t="s">
        <v>352</v>
      </c>
      <c r="H209" s="14" t="s">
        <v>268</v>
      </c>
    </row>
    <row r="210" spans="1:8" x14ac:dyDescent="0.25">
      <c r="A210" s="5">
        <v>209</v>
      </c>
      <c r="B210" s="5" t="str">
        <f>"STATIM-"&amp;C210&amp;"-"&amp;D210&amp;"-"&amp;TEXT(COUNTIFS($C$2:C210,C210,$D$2:D210,D210),"000")</f>
        <v>STATIM-UW-Health-026</v>
      </c>
      <c r="C210" s="5" t="s">
        <v>8</v>
      </c>
      <c r="D210" s="5" t="s">
        <v>288</v>
      </c>
      <c r="E210" s="5" t="s">
        <v>17</v>
      </c>
      <c r="F210" s="5" t="s">
        <v>353</v>
      </c>
      <c r="G210" s="7" t="s">
        <v>354</v>
      </c>
      <c r="H210" s="5" t="s">
        <v>20</v>
      </c>
    </row>
    <row r="211" spans="1:8" ht="75" x14ac:dyDescent="0.25">
      <c r="A211" s="5">
        <v>210</v>
      </c>
      <c r="B211" s="5" t="str">
        <f>"STATIM-"&amp;C211&amp;"-"&amp;D211&amp;"-"&amp;TEXT(COUNTIFS($C$2:C211,C211,$D$2:D211,D211),"000")</f>
        <v>STATIM-UW-Health-027</v>
      </c>
      <c r="C211" s="5" t="s">
        <v>8</v>
      </c>
      <c r="D211" s="5" t="s">
        <v>288</v>
      </c>
      <c r="E211" s="5" t="s">
        <v>17</v>
      </c>
      <c r="F211" s="5" t="s">
        <v>355</v>
      </c>
      <c r="G211" s="7" t="s">
        <v>356</v>
      </c>
      <c r="H211" s="5" t="s">
        <v>13</v>
      </c>
    </row>
    <row r="212" spans="1:8" ht="60" x14ac:dyDescent="0.25">
      <c r="A212" s="5">
        <v>211</v>
      </c>
      <c r="B212" s="5" t="str">
        <f>"STATIM-"&amp;C212&amp;"-"&amp;D212&amp;"-"&amp;TEXT(COUNTIFS($C$2:C212,C212,$D$2:D212,D212),"000")</f>
        <v>STATIM-UW-Health-028</v>
      </c>
      <c r="C212" s="5" t="s">
        <v>8</v>
      </c>
      <c r="D212" s="5" t="s">
        <v>288</v>
      </c>
      <c r="E212" s="5" t="s">
        <v>17</v>
      </c>
      <c r="F212" s="5" t="s">
        <v>357</v>
      </c>
      <c r="G212" s="7" t="s">
        <v>358</v>
      </c>
      <c r="H212" s="14" t="s">
        <v>13</v>
      </c>
    </row>
    <row r="213" spans="1:8" ht="30" x14ac:dyDescent="0.25">
      <c r="A213" s="5">
        <v>212</v>
      </c>
      <c r="B213" s="5" t="str">
        <f>"STATIM-"&amp;C213&amp;"-"&amp;D213&amp;"-"&amp;TEXT(COUNTIFS($C$2:C213,C213,$D$2:D213,D213),"000")</f>
        <v>STATIM-UW-Health-029</v>
      </c>
      <c r="C213" s="5" t="s">
        <v>8</v>
      </c>
      <c r="D213" s="5" t="s">
        <v>288</v>
      </c>
      <c r="E213" s="5" t="s">
        <v>17</v>
      </c>
      <c r="F213" s="5" t="s">
        <v>359</v>
      </c>
      <c r="G213" s="7" t="s">
        <v>360</v>
      </c>
      <c r="H213" s="5" t="s">
        <v>13</v>
      </c>
    </row>
    <row r="214" spans="1:8" ht="45" x14ac:dyDescent="0.25">
      <c r="A214" s="5">
        <v>213</v>
      </c>
      <c r="B214" s="5" t="str">
        <f>"STATIM-"&amp;C214&amp;"-"&amp;D214&amp;"-"&amp;TEXT(COUNTIFS($C$2:C214,C214,$D$2:D214,D214),"000")</f>
        <v>STATIM-UW-Health-030</v>
      </c>
      <c r="C214" s="5" t="s">
        <v>8</v>
      </c>
      <c r="D214" s="5" t="s">
        <v>288</v>
      </c>
      <c r="E214" s="5" t="s">
        <v>17</v>
      </c>
      <c r="F214" s="5" t="s">
        <v>361</v>
      </c>
      <c r="G214" s="7" t="s">
        <v>362</v>
      </c>
      <c r="H214" s="14" t="s">
        <v>13</v>
      </c>
    </row>
    <row r="215" spans="1:8" x14ac:dyDescent="0.25">
      <c r="A215" s="5">
        <v>214</v>
      </c>
      <c r="B215" s="5" t="str">
        <f>"STATIM-"&amp;C215&amp;"-"&amp;D215&amp;"-"&amp;TEXT(COUNTIFS($C$2:C215,C215,$D$2:D215,D215),"000")</f>
        <v>STATIM-UW-Health-031</v>
      </c>
      <c r="C215" s="5" t="s">
        <v>8</v>
      </c>
      <c r="D215" s="5" t="s">
        <v>288</v>
      </c>
      <c r="E215" s="5" t="s">
        <v>17</v>
      </c>
      <c r="F215" s="5" t="s">
        <v>170</v>
      </c>
      <c r="G215" s="7" t="s">
        <v>363</v>
      </c>
      <c r="H215" s="5" t="s">
        <v>64</v>
      </c>
    </row>
    <row r="216" spans="1:8" ht="30" x14ac:dyDescent="0.25">
      <c r="A216" s="5">
        <v>215</v>
      </c>
      <c r="B216" s="5" t="str">
        <f>"STATIM-"&amp;C216&amp;"-"&amp;D216&amp;"-"&amp;TEXT(COUNTIFS($C$2:C216,C216,$D$2:D216,D216),"000")</f>
        <v>STATIM-UW-Health-032</v>
      </c>
      <c r="C216" s="5" t="s">
        <v>8</v>
      </c>
      <c r="D216" s="5" t="s">
        <v>288</v>
      </c>
      <c r="E216" s="5" t="s">
        <v>17</v>
      </c>
      <c r="F216" s="5" t="s">
        <v>246</v>
      </c>
      <c r="G216" s="7" t="s">
        <v>364</v>
      </c>
      <c r="H216" s="5" t="s">
        <v>64</v>
      </c>
    </row>
    <row r="217" spans="1:8" ht="90" x14ac:dyDescent="0.25">
      <c r="A217" s="5">
        <v>216</v>
      </c>
      <c r="B217" s="5" t="str">
        <f>"STATIM-"&amp;C217&amp;"-"&amp;D217&amp;"-"&amp;TEXT(COUNTIFS($C$2:C217,C217,$D$2:D217,D217),"000")</f>
        <v>STATIM-UW-Health-033</v>
      </c>
      <c r="C217" s="5" t="s">
        <v>8</v>
      </c>
      <c r="D217" s="5" t="s">
        <v>288</v>
      </c>
      <c r="E217" s="5" t="s">
        <v>17</v>
      </c>
      <c r="F217" s="5" t="s">
        <v>359</v>
      </c>
      <c r="G217" s="7" t="s">
        <v>365</v>
      </c>
      <c r="H217" s="14" t="s">
        <v>64</v>
      </c>
    </row>
    <row r="218" spans="1:8" ht="30" x14ac:dyDescent="0.25">
      <c r="A218" s="5">
        <v>217</v>
      </c>
      <c r="B218" s="5" t="str">
        <f>"STATIM-"&amp;C218&amp;"-"&amp;D218&amp;"-"&amp;TEXT(COUNTIFS($C$2:C218,C218,$D$2:D218,D218),"000")</f>
        <v>STATIM-UW-Health-034</v>
      </c>
      <c r="C218" s="5" t="s">
        <v>8</v>
      </c>
      <c r="D218" s="5" t="s">
        <v>288</v>
      </c>
      <c r="E218" s="5" t="s">
        <v>17</v>
      </c>
      <c r="F218" s="5" t="s">
        <v>366</v>
      </c>
      <c r="G218" s="7" t="s">
        <v>367</v>
      </c>
      <c r="H218" s="5" t="s">
        <v>25</v>
      </c>
    </row>
    <row r="219" spans="1:8" x14ac:dyDescent="0.25">
      <c r="A219" s="5">
        <v>218</v>
      </c>
      <c r="B219" s="5" t="str">
        <f>"STATIM-"&amp;C219&amp;"-"&amp;D219&amp;"-"&amp;TEXT(COUNTIFS($C$2:C219,C219,$D$2:D219,D219),"000")</f>
        <v>STATIM-UW-Health-035</v>
      </c>
      <c r="C219" s="5" t="s">
        <v>8</v>
      </c>
      <c r="D219" s="5" t="s">
        <v>288</v>
      </c>
      <c r="E219" s="5" t="s">
        <v>17</v>
      </c>
      <c r="F219" s="5" t="s">
        <v>368</v>
      </c>
      <c r="G219" s="7" t="s">
        <v>369</v>
      </c>
      <c r="H219" s="5" t="s">
        <v>43</v>
      </c>
    </row>
    <row r="220" spans="1:8" ht="30" x14ac:dyDescent="0.25">
      <c r="A220" s="5">
        <v>219</v>
      </c>
      <c r="B220" s="5" t="str">
        <f>"STATIM-"&amp;C220&amp;"-"&amp;D220&amp;"-"&amp;TEXT(COUNTIFS($C$2:C220,C220,$D$2:D220,D220),"000")</f>
        <v>STATIM-UW-Health-036</v>
      </c>
      <c r="C220" s="5" t="s">
        <v>8</v>
      </c>
      <c r="D220" s="5" t="s">
        <v>288</v>
      </c>
      <c r="E220" s="5" t="s">
        <v>17</v>
      </c>
      <c r="F220" s="5" t="s">
        <v>53</v>
      </c>
      <c r="G220" s="7" t="s">
        <v>370</v>
      </c>
      <c r="H220" s="5" t="s">
        <v>13</v>
      </c>
    </row>
    <row r="221" spans="1:8" ht="165" x14ac:dyDescent="0.25">
      <c r="A221" s="5">
        <v>220</v>
      </c>
      <c r="B221" s="5" t="str">
        <f>"STATIM-"&amp;C221&amp;"-"&amp;D221&amp;"-"&amp;TEXT(COUNTIFS($C$2:C221,C221,$D$2:D221,D221),"000")</f>
        <v>STATIM-UW-Health-037</v>
      </c>
      <c r="C221" s="5" t="s">
        <v>8</v>
      </c>
      <c r="D221" s="5" t="s">
        <v>288</v>
      </c>
      <c r="E221" s="5" t="s">
        <v>17</v>
      </c>
      <c r="F221" s="5" t="s">
        <v>371</v>
      </c>
      <c r="G221" s="7" t="s">
        <v>372</v>
      </c>
      <c r="H221" s="5" t="s">
        <v>43</v>
      </c>
    </row>
    <row r="222" spans="1:8" ht="90" x14ac:dyDescent="0.25">
      <c r="A222" s="5">
        <v>221</v>
      </c>
      <c r="B222" s="5" t="str">
        <f>"STATIM-"&amp;C222&amp;"-"&amp;D222&amp;"-"&amp;TEXT(COUNTIFS($C$2:C222,C222,$D$2:D222,D222),"000")</f>
        <v>STATIM-UW-Health-038</v>
      </c>
      <c r="C222" s="5" t="s">
        <v>8</v>
      </c>
      <c r="D222" s="5" t="s">
        <v>288</v>
      </c>
      <c r="E222" s="5" t="s">
        <v>17</v>
      </c>
      <c r="F222" s="5" t="s">
        <v>373</v>
      </c>
      <c r="G222" s="7" t="s">
        <v>374</v>
      </c>
      <c r="H222" s="14" t="s">
        <v>268</v>
      </c>
    </row>
    <row r="223" spans="1:8" ht="60" x14ac:dyDescent="0.25">
      <c r="A223" s="5">
        <v>222</v>
      </c>
      <c r="B223" s="5" t="str">
        <f>"STATIM-"&amp;C223&amp;"-"&amp;D223&amp;"-"&amp;TEXT(COUNTIFS($C$2:C223,C223,$D$2:D223,D223),"000")</f>
        <v>STATIM-UW-Health-039</v>
      </c>
      <c r="C223" s="5" t="s">
        <v>8</v>
      </c>
      <c r="D223" s="5" t="s">
        <v>288</v>
      </c>
      <c r="E223" s="5" t="s">
        <v>17</v>
      </c>
      <c r="F223" s="5" t="s">
        <v>375</v>
      </c>
      <c r="G223" s="7" t="s">
        <v>376</v>
      </c>
      <c r="H223" s="14" t="s">
        <v>43</v>
      </c>
    </row>
    <row r="224" spans="1:8" ht="60" x14ac:dyDescent="0.25">
      <c r="A224" s="5">
        <v>223</v>
      </c>
      <c r="B224" s="5" t="str">
        <f>"STATIM-"&amp;C224&amp;"-"&amp;D224&amp;"-"&amp;TEXT(COUNTIFS($C$2:C224,C224,$D$2:D224,D224),"000")</f>
        <v>STATIM-UW-Health-040</v>
      </c>
      <c r="C224" s="5" t="s">
        <v>8</v>
      </c>
      <c r="D224" s="5" t="s">
        <v>288</v>
      </c>
      <c r="E224" s="5" t="s">
        <v>17</v>
      </c>
      <c r="F224" s="5" t="s">
        <v>8</v>
      </c>
      <c r="G224" s="7" t="s">
        <v>377</v>
      </c>
      <c r="H224" s="5" t="s">
        <v>25</v>
      </c>
    </row>
    <row r="225" spans="1:8" ht="45" x14ac:dyDescent="0.25">
      <c r="A225" s="5">
        <v>224</v>
      </c>
      <c r="B225" s="5" t="str">
        <f>"STATIM-"&amp;C225&amp;"-"&amp;D225&amp;"-"&amp;TEXT(COUNTIFS($C$2:C225,C225,$D$2:D225,D225),"000")</f>
        <v>STATIM-Claims-Health-001</v>
      </c>
      <c r="C225" s="5" t="s">
        <v>95</v>
      </c>
      <c r="D225" s="5" t="s">
        <v>288</v>
      </c>
      <c r="E225" s="5" t="s">
        <v>95</v>
      </c>
      <c r="F225" s="5" t="s">
        <v>378</v>
      </c>
      <c r="G225" s="7" t="s">
        <v>379</v>
      </c>
      <c r="H225" s="14" t="s">
        <v>43</v>
      </c>
    </row>
    <row r="226" spans="1:8" ht="105" x14ac:dyDescent="0.25">
      <c r="A226" s="5">
        <v>225</v>
      </c>
      <c r="B226" s="5" t="str">
        <f>"STATIM-"&amp;C226&amp;"-"&amp;D226&amp;"-"&amp;TEXT(COUNTIFS($C$2:C226,C226,$D$2:D226,D226),"000")</f>
        <v>STATIM-Finance-All-028</v>
      </c>
      <c r="C226" s="5" t="s">
        <v>234</v>
      </c>
      <c r="D226" s="5" t="s">
        <v>191</v>
      </c>
      <c r="E226" s="5" t="s">
        <v>234</v>
      </c>
      <c r="F226" s="5" t="s">
        <v>284</v>
      </c>
      <c r="G226" s="7" t="s">
        <v>380</v>
      </c>
      <c r="H226" s="20" t="s">
        <v>43</v>
      </c>
    </row>
    <row r="227" spans="1:8" ht="45" x14ac:dyDescent="0.25">
      <c r="A227" s="5">
        <v>226</v>
      </c>
      <c r="B227" s="5" t="str">
        <f>"STATIM-"&amp;C227&amp;"-"&amp;D227&amp;"-"&amp;TEXT(COUNTIFS($C$2:C227,C227,$D$2:D227,D227),"000")</f>
        <v>STATIM-Finance-All-029</v>
      </c>
      <c r="C227" s="5" t="s">
        <v>234</v>
      </c>
      <c r="D227" s="12" t="s">
        <v>191</v>
      </c>
      <c r="E227" s="5" t="s">
        <v>234</v>
      </c>
      <c r="F227" s="5" t="s">
        <v>381</v>
      </c>
      <c r="G227" s="7" t="s">
        <v>382</v>
      </c>
      <c r="H227" s="20" t="s">
        <v>43</v>
      </c>
    </row>
    <row r="228" spans="1:8" ht="30" x14ac:dyDescent="0.25">
      <c r="A228" s="5">
        <v>227</v>
      </c>
      <c r="B228" s="5" t="str">
        <f>"STATIM-"&amp;C228&amp;"-"&amp;D228&amp;"-"&amp;TEXT(COUNTIFS($C$2:C228,C228,$D$2:D228,D228),"000")</f>
        <v>STATIM-UW-Liability-001</v>
      </c>
      <c r="C228" s="5" t="s">
        <v>8</v>
      </c>
      <c r="D228" s="5" t="s">
        <v>383</v>
      </c>
      <c r="E228" s="5" t="s">
        <v>88</v>
      </c>
      <c r="F228" s="5" t="s">
        <v>384</v>
      </c>
      <c r="G228" s="7" t="s">
        <v>385</v>
      </c>
      <c r="H228" s="5" t="s">
        <v>13</v>
      </c>
    </row>
    <row r="229" spans="1:8" ht="30" x14ac:dyDescent="0.25">
      <c r="A229" s="5">
        <v>228</v>
      </c>
      <c r="B229" s="5" t="str">
        <f>"STATIM-"&amp;C229&amp;"-"&amp;D229&amp;"-"&amp;TEXT(COUNTIFS($C$2:C229,C229,$D$2:D229,D229),"000")</f>
        <v>STATIM-UW-All-001</v>
      </c>
      <c r="C229" s="5" t="s">
        <v>8</v>
      </c>
      <c r="D229" s="5" t="s">
        <v>191</v>
      </c>
      <c r="E229" s="5" t="s">
        <v>88</v>
      </c>
      <c r="F229" s="5" t="s">
        <v>88</v>
      </c>
      <c r="G229" s="7" t="s">
        <v>386</v>
      </c>
      <c r="H229" s="5" t="s">
        <v>20</v>
      </c>
    </row>
    <row r="230" spans="1:8" x14ac:dyDescent="0.25">
      <c r="A230" s="5">
        <v>229</v>
      </c>
      <c r="B230" s="5" t="str">
        <f>"STATIM-"&amp;C230&amp;"-"&amp;D230&amp;"-"&amp;TEXT(COUNTIFS($C$2:C230,C230,$D$2:D230,D230),"000")</f>
        <v>STATIM-UW-All-002</v>
      </c>
      <c r="C230" s="5" t="s">
        <v>8</v>
      </c>
      <c r="D230" s="5" t="s">
        <v>191</v>
      </c>
      <c r="E230" s="5" t="s">
        <v>88</v>
      </c>
      <c r="F230" s="5" t="s">
        <v>88</v>
      </c>
      <c r="G230" s="7" t="s">
        <v>387</v>
      </c>
      <c r="H230" s="5" t="s">
        <v>20</v>
      </c>
    </row>
    <row r="231" spans="1:8" x14ac:dyDescent="0.25">
      <c r="A231" s="5">
        <v>230</v>
      </c>
      <c r="B231" s="5" t="str">
        <f>"STATIM-"&amp;C231&amp;"-"&amp;D231&amp;"-"&amp;TEXT(COUNTIFS($C$2:C231,C231,$D$2:D231,D231),"000")</f>
        <v>STATIM-UW-All-003</v>
      </c>
      <c r="C231" s="5" t="s">
        <v>8</v>
      </c>
      <c r="D231" s="5" t="s">
        <v>191</v>
      </c>
      <c r="E231" s="5" t="s">
        <v>88</v>
      </c>
      <c r="F231" s="5" t="s">
        <v>88</v>
      </c>
      <c r="G231" s="7" t="s">
        <v>388</v>
      </c>
      <c r="H231" s="5" t="s">
        <v>13</v>
      </c>
    </row>
    <row r="232" spans="1:8" ht="90" x14ac:dyDescent="0.25">
      <c r="A232" s="5">
        <v>231</v>
      </c>
      <c r="B232" s="5" t="str">
        <f>"STATIM-"&amp;C232&amp;"-"&amp;D232&amp;"-"&amp;TEXT(COUNTIFS($C$2:C232,C232,$D$2:D232,D232),"000")</f>
        <v>STATIM-UW-General-022</v>
      </c>
      <c r="C232" s="5" t="s">
        <v>8</v>
      </c>
      <c r="D232" s="5" t="s">
        <v>159</v>
      </c>
      <c r="E232" s="5" t="s">
        <v>88</v>
      </c>
      <c r="F232" s="5" t="s">
        <v>88</v>
      </c>
      <c r="G232" s="7" t="s">
        <v>389</v>
      </c>
      <c r="H232" s="5" t="s">
        <v>43</v>
      </c>
    </row>
    <row r="233" spans="1:8" ht="45" x14ac:dyDescent="0.25">
      <c r="A233" s="5">
        <v>232</v>
      </c>
      <c r="B233" s="5" t="str">
        <f>"STATIM-"&amp;C233&amp;"-"&amp;D233&amp;"-"&amp;TEXT(COUNTIFS($C$2:C233,C233,$D$2:D233,D233),"000")</f>
        <v>STATIM-UW-General-023</v>
      </c>
      <c r="C233" s="5" t="s">
        <v>8</v>
      </c>
      <c r="D233" s="5" t="s">
        <v>159</v>
      </c>
      <c r="E233" s="5" t="s">
        <v>88</v>
      </c>
      <c r="F233" s="5" t="s">
        <v>88</v>
      </c>
      <c r="G233" s="7" t="s">
        <v>390</v>
      </c>
      <c r="H233" s="5" t="s">
        <v>43</v>
      </c>
    </row>
    <row r="234" spans="1:8" ht="30" x14ac:dyDescent="0.25">
      <c r="A234" s="5">
        <v>233</v>
      </c>
      <c r="B234" s="5" t="str">
        <f>"STATIM-"&amp;C234&amp;"-"&amp;D234&amp;"-"&amp;TEXT(COUNTIFS($C$2:C234,C234,$D$2:D234,D234),"000")</f>
        <v>STATIM-UW-All-004</v>
      </c>
      <c r="C234" s="5" t="s">
        <v>8</v>
      </c>
      <c r="D234" s="5" t="s">
        <v>191</v>
      </c>
      <c r="E234" s="5" t="s">
        <v>77</v>
      </c>
      <c r="F234" s="5" t="s">
        <v>77</v>
      </c>
      <c r="G234" s="13" t="s">
        <v>391</v>
      </c>
      <c r="H234" s="5" t="s">
        <v>13</v>
      </c>
    </row>
    <row r="235" spans="1:8" x14ac:dyDescent="0.25">
      <c r="A235" s="5">
        <v>234</v>
      </c>
      <c r="B235" s="5" t="str">
        <f>"STATIM-"&amp;C235&amp;"-"&amp;D235&amp;"-"&amp;TEXT(COUNTIFS($C$2:C235,C235,$D$2:D235,D235),"000")</f>
        <v>STATIM-UW-All-005</v>
      </c>
      <c r="C235" s="5" t="s">
        <v>8</v>
      </c>
      <c r="D235" s="5" t="s">
        <v>191</v>
      </c>
      <c r="E235" s="5" t="s">
        <v>77</v>
      </c>
      <c r="F235" s="5" t="s">
        <v>77</v>
      </c>
      <c r="G235" s="13" t="s">
        <v>392</v>
      </c>
      <c r="H235" s="5" t="s">
        <v>43</v>
      </c>
    </row>
    <row r="236" spans="1:8" ht="165" x14ac:dyDescent="0.25">
      <c r="A236" s="5">
        <v>235</v>
      </c>
      <c r="B236" s="5" t="str">
        <f>"STATIM-"&amp;C236&amp;"-"&amp;D236&amp;"-"&amp;TEXT(COUNTIFS($C$2:C236,C236,$D$2:D236,D236),"000")</f>
        <v>STATIM-UW-All-006</v>
      </c>
      <c r="C236" s="5" t="s">
        <v>8</v>
      </c>
      <c r="D236" s="5" t="s">
        <v>191</v>
      </c>
      <c r="E236" s="5" t="s">
        <v>77</v>
      </c>
      <c r="F236" s="5" t="s">
        <v>77</v>
      </c>
      <c r="G236" s="9" t="s">
        <v>393</v>
      </c>
      <c r="H236" s="5" t="s">
        <v>13</v>
      </c>
    </row>
    <row r="237" spans="1:8" ht="60" x14ac:dyDescent="0.25">
      <c r="A237" s="5">
        <v>236</v>
      </c>
      <c r="B237" s="5" t="str">
        <f>"STATIM-"&amp;C237&amp;"-"&amp;D237&amp;"-"&amp;TEXT(COUNTIFS($C$2:C237,C237,$D$2:D237,D237),"000")</f>
        <v>STATIM-UW-All-007</v>
      </c>
      <c r="C237" s="5" t="s">
        <v>8</v>
      </c>
      <c r="D237" s="5" t="s">
        <v>191</v>
      </c>
      <c r="E237" s="5" t="s">
        <v>77</v>
      </c>
      <c r="F237" s="5" t="s">
        <v>77</v>
      </c>
      <c r="G237" s="7" t="s">
        <v>394</v>
      </c>
      <c r="H237" s="5" t="s">
        <v>13</v>
      </c>
    </row>
    <row r="238" spans="1:8" ht="60" x14ac:dyDescent="0.25">
      <c r="A238" s="5">
        <v>237</v>
      </c>
      <c r="B238" s="5" t="str">
        <f>"STATIM-"&amp;C238&amp;"-"&amp;D238&amp;"-"&amp;TEXT(COUNTIFS($C$2:C238,C238,$D$2:D238,D238),"000")</f>
        <v>STATIM-UW-Motor-046</v>
      </c>
      <c r="C238" s="5" t="s">
        <v>8</v>
      </c>
      <c r="D238" s="5" t="s">
        <v>9</v>
      </c>
      <c r="E238" s="5" t="s">
        <v>88</v>
      </c>
      <c r="F238" s="5" t="s">
        <v>88</v>
      </c>
      <c r="G238" s="9" t="s">
        <v>395</v>
      </c>
      <c r="H238" s="5" t="s">
        <v>13</v>
      </c>
    </row>
    <row r="239" spans="1:8" ht="60" x14ac:dyDescent="0.25">
      <c r="A239" s="5">
        <v>238</v>
      </c>
      <c r="B239" s="5" t="str">
        <f>"STATIM-"&amp;C239&amp;"-"&amp;D239&amp;"-"&amp;TEXT(COUNTIFS($C$2:C239,C239,$D$2:D239,D239),"000")</f>
        <v>STATIM-UW-Motor-047</v>
      </c>
      <c r="C239" s="5" t="s">
        <v>8</v>
      </c>
      <c r="D239" s="5" t="s">
        <v>9</v>
      </c>
      <c r="E239" s="5" t="s">
        <v>88</v>
      </c>
      <c r="F239" s="5" t="s">
        <v>88</v>
      </c>
      <c r="G239" s="7" t="s">
        <v>396</v>
      </c>
      <c r="H239" s="5" t="s">
        <v>13</v>
      </c>
    </row>
    <row r="240" spans="1:8" ht="45" x14ac:dyDescent="0.25">
      <c r="A240" s="5">
        <v>239</v>
      </c>
      <c r="B240" s="5" t="str">
        <f>"STATIM-"&amp;C240&amp;"-"&amp;D240&amp;"-"&amp;TEXT(COUNTIFS($C$2:C240,C240,$D$2:D240,D240),"000")</f>
        <v>STATIM-UW-Motor-048</v>
      </c>
      <c r="C240" s="5" t="s">
        <v>8</v>
      </c>
      <c r="D240" s="5" t="s">
        <v>9</v>
      </c>
      <c r="E240" s="5" t="s">
        <v>88</v>
      </c>
      <c r="F240" s="5" t="s">
        <v>397</v>
      </c>
      <c r="G240" s="7" t="s">
        <v>398</v>
      </c>
      <c r="H240" s="5" t="s">
        <v>64</v>
      </c>
    </row>
    <row r="241" spans="1:8" x14ac:dyDescent="0.25">
      <c r="A241" s="5">
        <v>240</v>
      </c>
      <c r="B241" s="5" t="str">
        <f>"STATIM-"&amp;C241&amp;"-"&amp;D241&amp;"-"&amp;TEXT(COUNTIFS($C$2:C241,C241,$D$2:D241,D241),"000")</f>
        <v>STATIM-UW-Motor-049</v>
      </c>
      <c r="C241" s="5" t="s">
        <v>8</v>
      </c>
      <c r="D241" s="5" t="s">
        <v>9</v>
      </c>
      <c r="E241" s="5" t="s">
        <v>88</v>
      </c>
      <c r="F241" s="5" t="s">
        <v>88</v>
      </c>
      <c r="G241" s="7" t="s">
        <v>399</v>
      </c>
      <c r="H241" s="5" t="s">
        <v>13</v>
      </c>
    </row>
    <row r="242" spans="1:8" ht="45" x14ac:dyDescent="0.25">
      <c r="A242" s="5">
        <v>241</v>
      </c>
      <c r="B242" s="5" t="str">
        <f>"STATIM-"&amp;C242&amp;"-"&amp;D242&amp;"-"&amp;TEXT(COUNTIFS($C$2:C242,C242,$D$2:D242,D242),"000")</f>
        <v>STATIM-UW-Motor-050</v>
      </c>
      <c r="C242" s="5" t="s">
        <v>8</v>
      </c>
      <c r="D242" s="5" t="s">
        <v>9</v>
      </c>
      <c r="E242" s="5" t="s">
        <v>88</v>
      </c>
      <c r="F242" s="5" t="s">
        <v>88</v>
      </c>
      <c r="G242" s="7" t="s">
        <v>400</v>
      </c>
      <c r="H242" s="5" t="s">
        <v>13</v>
      </c>
    </row>
    <row r="243" spans="1:8" ht="30" x14ac:dyDescent="0.25">
      <c r="A243" s="5">
        <v>242</v>
      </c>
      <c r="B243" s="5" t="str">
        <f>"STATIM-"&amp;C243&amp;"-"&amp;D243&amp;"-"&amp;TEXT(COUNTIFS($C$2:C243,C243,$D$2:D243,D243),"000")</f>
        <v>STATIM-UW-Motor-051</v>
      </c>
      <c r="C243" s="5" t="s">
        <v>8</v>
      </c>
      <c r="D243" s="5" t="s">
        <v>9</v>
      </c>
      <c r="E243" s="5" t="s">
        <v>88</v>
      </c>
      <c r="F243" s="5" t="s">
        <v>88</v>
      </c>
      <c r="G243" s="13" t="s">
        <v>401</v>
      </c>
      <c r="H243" s="5" t="s">
        <v>13</v>
      </c>
    </row>
    <row r="244" spans="1:8" ht="30" x14ac:dyDescent="0.25">
      <c r="A244" s="5">
        <v>243</v>
      </c>
      <c r="B244" s="5" t="str">
        <f>"STATIM-"&amp;C244&amp;"-"&amp;D244&amp;"-"&amp;TEXT(COUNTIFS($C$2:C244,C244,$D$2:D244,D244),"000")</f>
        <v>STATIM-UW-Motor-052</v>
      </c>
      <c r="C244" s="5" t="s">
        <v>8</v>
      </c>
      <c r="D244" s="5" t="s">
        <v>9</v>
      </c>
      <c r="E244" s="5" t="s">
        <v>88</v>
      </c>
      <c r="F244" s="5" t="s">
        <v>100</v>
      </c>
      <c r="G244" s="7" t="s">
        <v>402</v>
      </c>
      <c r="H244" s="5" t="s">
        <v>30</v>
      </c>
    </row>
    <row r="245" spans="1:8" x14ac:dyDescent="0.25">
      <c r="A245" s="5">
        <v>244</v>
      </c>
      <c r="B245" s="5" t="str">
        <f>"STATIM-"&amp;C245&amp;"-"&amp;D245&amp;"-"&amp;TEXT(COUNTIFS($C$2:C245,C245,$D$2:D245,D245),"000")</f>
        <v>STATIM-UW-Motor-053</v>
      </c>
      <c r="C245" s="5" t="s">
        <v>8</v>
      </c>
      <c r="D245" s="5" t="s">
        <v>9</v>
      </c>
      <c r="E245" s="5" t="s">
        <v>88</v>
      </c>
      <c r="F245" s="5" t="s">
        <v>88</v>
      </c>
      <c r="G245" s="7" t="s">
        <v>403</v>
      </c>
      <c r="H245" s="5" t="s">
        <v>43</v>
      </c>
    </row>
    <row r="246" spans="1:8" ht="30" x14ac:dyDescent="0.25">
      <c r="A246" s="5">
        <v>245</v>
      </c>
      <c r="B246" s="5" t="str">
        <f>"STATIM-"&amp;C246&amp;"-"&amp;D246&amp;"-"&amp;TEXT(COUNTIFS($C$2:C246,C246,$D$2:D246,D246),"000")</f>
        <v>STATIM-UW-Motor-054</v>
      </c>
      <c r="C246" s="5" t="s">
        <v>8</v>
      </c>
      <c r="D246" s="5" t="s">
        <v>9</v>
      </c>
      <c r="E246" s="5" t="s">
        <v>88</v>
      </c>
      <c r="F246" s="5" t="s">
        <v>88</v>
      </c>
      <c r="G246" s="13" t="s">
        <v>404</v>
      </c>
      <c r="H246" s="5" t="s">
        <v>13</v>
      </c>
    </row>
    <row r="247" spans="1:8" ht="45" x14ac:dyDescent="0.25">
      <c r="A247" s="5">
        <v>246</v>
      </c>
      <c r="B247" s="5" t="str">
        <f>"STATIM-"&amp;C247&amp;"-"&amp;D247&amp;"-"&amp;TEXT(COUNTIFS($C$2:C247,C247,$D$2:D247,D247),"000")</f>
        <v>STATIM-UW-Motor-055</v>
      </c>
      <c r="C247" s="5" t="s">
        <v>8</v>
      </c>
      <c r="D247" s="5" t="s">
        <v>9</v>
      </c>
      <c r="E247" s="5" t="s">
        <v>88</v>
      </c>
      <c r="F247" s="5" t="s">
        <v>88</v>
      </c>
      <c r="G247" s="7" t="s">
        <v>405</v>
      </c>
      <c r="H247" s="14" t="s">
        <v>20</v>
      </c>
    </row>
    <row r="248" spans="1:8" ht="105" x14ac:dyDescent="0.25">
      <c r="A248" s="5">
        <v>247</v>
      </c>
      <c r="B248" s="5" t="str">
        <f>"STATIM-"&amp;C248&amp;"-"&amp;D248&amp;"-"&amp;TEXT(COUNTIFS($C$2:C248,C248,$D$2:D248,D248),"000")</f>
        <v>STATIM-UW-Motor-056</v>
      </c>
      <c r="C248" s="5" t="s">
        <v>8</v>
      </c>
      <c r="D248" s="5" t="s">
        <v>9</v>
      </c>
      <c r="E248" s="5" t="s">
        <v>88</v>
      </c>
      <c r="F248" s="5" t="s">
        <v>88</v>
      </c>
      <c r="G248" s="7" t="s">
        <v>406</v>
      </c>
      <c r="H248" s="14" t="s">
        <v>13</v>
      </c>
    </row>
    <row r="249" spans="1:8" x14ac:dyDescent="0.25">
      <c r="A249" s="5">
        <v>248</v>
      </c>
      <c r="B249" s="5" t="str">
        <f>"STATIM-"&amp;C249&amp;"-"&amp;D249&amp;"-"&amp;TEXT(COUNTIFS($C$2:C249,C249,$D$2:D249,D249),"000")</f>
        <v>STATIM-UW-Motor-057</v>
      </c>
      <c r="C249" s="5" t="s">
        <v>8</v>
      </c>
      <c r="D249" s="5" t="s">
        <v>9</v>
      </c>
      <c r="E249" s="5" t="s">
        <v>88</v>
      </c>
      <c r="F249" s="5" t="s">
        <v>88</v>
      </c>
      <c r="G249" s="7" t="s">
        <v>407</v>
      </c>
      <c r="H249" s="5" t="s">
        <v>13</v>
      </c>
    </row>
    <row r="250" spans="1:8" x14ac:dyDescent="0.25">
      <c r="A250" s="5">
        <v>249</v>
      </c>
      <c r="B250" s="5" t="str">
        <f>"STATIM-"&amp;C250&amp;"-"&amp;D250&amp;"-"&amp;TEXT(COUNTIFS($C$2:C250,C250,$D$2:D250,D250),"000")</f>
        <v>STATIM-UW-Motor-058</v>
      </c>
      <c r="C250" s="5" t="s">
        <v>8</v>
      </c>
      <c r="D250" s="5" t="s">
        <v>9</v>
      </c>
      <c r="E250" s="5" t="s">
        <v>88</v>
      </c>
      <c r="F250" s="5" t="s">
        <v>88</v>
      </c>
      <c r="G250" s="7" t="s">
        <v>408</v>
      </c>
      <c r="H250" s="5" t="s">
        <v>13</v>
      </c>
    </row>
    <row r="251" spans="1:8" ht="75" x14ac:dyDescent="0.25">
      <c r="A251" s="5">
        <v>250</v>
      </c>
      <c r="B251" s="5" t="str">
        <f>"STATIM-"&amp;C251&amp;"-"&amp;D251&amp;"-"&amp;TEXT(COUNTIFS($C$2:C251,C251,$D$2:D251,D251),"000")</f>
        <v>STATIM-UW-Motor-059</v>
      </c>
      <c r="C251" s="5" t="s">
        <v>8</v>
      </c>
      <c r="D251" s="5" t="s">
        <v>9</v>
      </c>
      <c r="E251" s="5" t="s">
        <v>88</v>
      </c>
      <c r="F251" s="5" t="s">
        <v>88</v>
      </c>
      <c r="G251" s="7" t="s">
        <v>409</v>
      </c>
      <c r="H251" s="14" t="s">
        <v>25</v>
      </c>
    </row>
    <row r="252" spans="1:8" ht="30" x14ac:dyDescent="0.25">
      <c r="A252" s="5">
        <v>251</v>
      </c>
      <c r="B252" s="5" t="str">
        <f>"STATIM-"&amp;C252&amp;"-"&amp;D252&amp;"-"&amp;TEXT(COUNTIFS($C$2:C252,C252,$D$2:D252,D252),"000")</f>
        <v>STATIM-UW-Motor-060</v>
      </c>
      <c r="C252" s="5" t="s">
        <v>8</v>
      </c>
      <c r="D252" s="5" t="s">
        <v>9</v>
      </c>
      <c r="E252" s="5" t="s">
        <v>88</v>
      </c>
      <c r="F252" s="5" t="s">
        <v>88</v>
      </c>
      <c r="G252" s="7" t="s">
        <v>410</v>
      </c>
      <c r="H252" s="5" t="s">
        <v>43</v>
      </c>
    </row>
    <row r="253" spans="1:8" x14ac:dyDescent="0.25">
      <c r="A253" s="5">
        <v>252</v>
      </c>
      <c r="B253" s="5" t="str">
        <f>"STATIM-"&amp;C253&amp;"-"&amp;D253&amp;"-"&amp;TEXT(COUNTIFS($C$2:C253,C253,$D$2:D253,D253),"000")</f>
        <v>STATIM-UW-Motor-061</v>
      </c>
      <c r="C253" s="5" t="s">
        <v>8</v>
      </c>
      <c r="D253" s="5" t="s">
        <v>9</v>
      </c>
      <c r="E253" s="5" t="s">
        <v>88</v>
      </c>
      <c r="F253" s="5" t="s">
        <v>411</v>
      </c>
      <c r="G253" s="7" t="s">
        <v>412</v>
      </c>
      <c r="H253" s="5" t="s">
        <v>20</v>
      </c>
    </row>
    <row r="254" spans="1:8" ht="45" x14ac:dyDescent="0.25">
      <c r="A254" s="5">
        <v>253</v>
      </c>
      <c r="B254" s="5" t="str">
        <f>"STATIM-"&amp;C254&amp;"-"&amp;D254&amp;"-"&amp;TEXT(COUNTIFS($C$2:C254,C254,$D$2:D254,D254),"000")</f>
        <v>STATIM-UW-Motor-062</v>
      </c>
      <c r="C254" s="5" t="s">
        <v>8</v>
      </c>
      <c r="D254" s="5" t="s">
        <v>9</v>
      </c>
      <c r="E254" s="5" t="s">
        <v>88</v>
      </c>
      <c r="F254" s="5" t="s">
        <v>411</v>
      </c>
      <c r="G254" s="7" t="s">
        <v>413</v>
      </c>
      <c r="H254" s="5" t="s">
        <v>13</v>
      </c>
    </row>
    <row r="255" spans="1:8" ht="90" x14ac:dyDescent="0.25">
      <c r="A255" s="5">
        <v>254</v>
      </c>
      <c r="B255" s="5" t="str">
        <f>"STATIM-"&amp;C255&amp;"-"&amp;D255&amp;"-"&amp;TEXT(COUNTIFS($C$2:C255,C255,$D$2:D255,D255),"000")</f>
        <v>STATIM-UW-Motor-063</v>
      </c>
      <c r="C255" s="5" t="s">
        <v>8</v>
      </c>
      <c r="D255" s="5" t="s">
        <v>9</v>
      </c>
      <c r="E255" s="5" t="s">
        <v>88</v>
      </c>
      <c r="F255" s="5" t="s">
        <v>411</v>
      </c>
      <c r="G255" s="13" t="s">
        <v>414</v>
      </c>
      <c r="H255" s="5" t="s">
        <v>13</v>
      </c>
    </row>
    <row r="256" spans="1:8" ht="75" x14ac:dyDescent="0.25">
      <c r="A256" s="5">
        <v>255</v>
      </c>
      <c r="B256" s="5" t="str">
        <f>"STATIM-"&amp;C256&amp;"-"&amp;D256&amp;"-"&amp;TEXT(COUNTIFS($C$2:C256,C256,$D$2:D256,D256),"000")</f>
        <v>STATIM-UW-Motor-064</v>
      </c>
      <c r="C256" s="5" t="s">
        <v>8</v>
      </c>
      <c r="D256" s="5" t="s">
        <v>9</v>
      </c>
      <c r="E256" s="5" t="s">
        <v>88</v>
      </c>
      <c r="F256" s="5" t="s">
        <v>411</v>
      </c>
      <c r="G256" s="7" t="s">
        <v>415</v>
      </c>
      <c r="H256" s="14" t="s">
        <v>25</v>
      </c>
    </row>
    <row r="257" spans="1:8" ht="120" x14ac:dyDescent="0.25">
      <c r="A257" s="5">
        <v>256</v>
      </c>
      <c r="B257" s="5" t="str">
        <f>"STATIM-"&amp;C257&amp;"-"&amp;D257&amp;"-"&amp;TEXT(COUNTIFS($C$2:C257,C257,$D$2:D257,D257),"000")</f>
        <v>STATIM-UW-Motor-065</v>
      </c>
      <c r="C257" s="5" t="s">
        <v>8</v>
      </c>
      <c r="D257" s="5" t="s">
        <v>9</v>
      </c>
      <c r="E257" s="5" t="s">
        <v>88</v>
      </c>
      <c r="F257" s="5" t="s">
        <v>88</v>
      </c>
      <c r="G257" s="13" t="s">
        <v>416</v>
      </c>
      <c r="H257" s="12" t="s">
        <v>20</v>
      </c>
    </row>
    <row r="258" spans="1:8" ht="105" x14ac:dyDescent="0.25">
      <c r="A258" s="5">
        <v>257</v>
      </c>
      <c r="B258" s="5" t="str">
        <f>"STATIM-"&amp;C258&amp;"-"&amp;D258&amp;"-"&amp;TEXT(COUNTIFS($C$2:C258,C258,$D$2:D258,D258),"000")</f>
        <v>STATIM-UW-Motor-066</v>
      </c>
      <c r="C258" s="5" t="s">
        <v>8</v>
      </c>
      <c r="D258" s="5" t="s">
        <v>9</v>
      </c>
      <c r="E258" s="5" t="s">
        <v>88</v>
      </c>
      <c r="F258" s="5" t="s">
        <v>411</v>
      </c>
      <c r="G258" s="7" t="s">
        <v>417</v>
      </c>
      <c r="H258" s="5" t="s">
        <v>64</v>
      </c>
    </row>
    <row r="259" spans="1:8" ht="60" x14ac:dyDescent="0.25">
      <c r="A259" s="5">
        <v>258</v>
      </c>
      <c r="B259" s="5" t="str">
        <f>"STATIM-"&amp;C259&amp;"-"&amp;D259&amp;"-"&amp;TEXT(COUNTIFS($C$2:C259,C259,$D$2:D259,D259),"000")</f>
        <v>STATIM-UW-Motor-067</v>
      </c>
      <c r="C259" s="5" t="s">
        <v>8</v>
      </c>
      <c r="D259" s="5" t="s">
        <v>9</v>
      </c>
      <c r="E259" s="5" t="s">
        <v>77</v>
      </c>
      <c r="F259" s="5" t="s">
        <v>77</v>
      </c>
      <c r="G259" s="13" t="s">
        <v>418</v>
      </c>
      <c r="H259" s="5" t="s">
        <v>64</v>
      </c>
    </row>
    <row r="260" spans="1:8" x14ac:dyDescent="0.25">
      <c r="A260" s="5">
        <v>259</v>
      </c>
      <c r="B260" s="5" t="str">
        <f>"STATIM-"&amp;C260&amp;"-"&amp;D260&amp;"-"&amp;TEXT(COUNTIFS($C$2:C260,C260,$D$2:D260,D260),"000")</f>
        <v>STATIM-UW-Motor-068</v>
      </c>
      <c r="C260" s="5" t="s">
        <v>8</v>
      </c>
      <c r="D260" s="5" t="s">
        <v>9</v>
      </c>
      <c r="E260" s="5" t="s">
        <v>77</v>
      </c>
      <c r="F260" s="5" t="s">
        <v>77</v>
      </c>
      <c r="G260" s="9" t="s">
        <v>419</v>
      </c>
      <c r="H260" s="5" t="s">
        <v>13</v>
      </c>
    </row>
    <row r="261" spans="1:8" ht="75" x14ac:dyDescent="0.25">
      <c r="A261" s="5">
        <v>260</v>
      </c>
      <c r="B261" s="5" t="str">
        <f>"STATIM-"&amp;C261&amp;"-"&amp;D261&amp;"-"&amp;TEXT(COUNTIFS($C$2:C261,C261,$D$2:D261,D261),"000")</f>
        <v>STATIM-UW-Motor-069</v>
      </c>
      <c r="C261" s="5" t="s">
        <v>8</v>
      </c>
      <c r="D261" s="5" t="s">
        <v>9</v>
      </c>
      <c r="E261" s="5" t="s">
        <v>77</v>
      </c>
      <c r="F261" s="5" t="s">
        <v>77</v>
      </c>
      <c r="G261" s="7" t="s">
        <v>420</v>
      </c>
      <c r="H261" s="5" t="s">
        <v>13</v>
      </c>
    </row>
    <row r="262" spans="1:8" ht="30" x14ac:dyDescent="0.25">
      <c r="A262" s="5">
        <v>261</v>
      </c>
      <c r="B262" s="5" t="str">
        <f>"STATIM-"&amp;C262&amp;"-"&amp;D262&amp;"-"&amp;TEXT(COUNTIFS($C$2:C262,C262,$D$2:D262,D262),"000")</f>
        <v>STATIM-UW-Motor-070</v>
      </c>
      <c r="C262" s="5" t="s">
        <v>8</v>
      </c>
      <c r="D262" s="5" t="s">
        <v>9</v>
      </c>
      <c r="E262" s="5" t="s">
        <v>77</v>
      </c>
      <c r="F262" s="5" t="s">
        <v>421</v>
      </c>
      <c r="G262" s="7" t="s">
        <v>422</v>
      </c>
      <c r="H262" s="5" t="s">
        <v>43</v>
      </c>
    </row>
    <row r="263" spans="1:8" ht="135" x14ac:dyDescent="0.25">
      <c r="A263" s="5">
        <v>262</v>
      </c>
      <c r="B263" s="5" t="str">
        <f>"STATIM-"&amp;C263&amp;"-"&amp;D263&amp;"-"&amp;TEXT(COUNTIFS($C$2:C263,C263,$D$2:D263,D263),"000")</f>
        <v>STATIM-UW-Motor-071</v>
      </c>
      <c r="C263" s="5" t="s">
        <v>8</v>
      </c>
      <c r="D263" s="5" t="s">
        <v>9</v>
      </c>
      <c r="E263" s="5" t="s">
        <v>17</v>
      </c>
      <c r="F263" s="5" t="s">
        <v>423</v>
      </c>
      <c r="G263" s="9" t="s">
        <v>424</v>
      </c>
      <c r="H263" s="5" t="s">
        <v>13</v>
      </c>
    </row>
    <row r="264" spans="1:8" x14ac:dyDescent="0.25">
      <c r="A264" s="5">
        <v>263</v>
      </c>
      <c r="B264" s="5" t="str">
        <f>"STATIM-"&amp;C264&amp;"-"&amp;D264&amp;"-"&amp;TEXT(COUNTIFS($C$2:C264,C264,$D$2:D264,D264),"000")</f>
        <v>STATIM-UW-Motor-072</v>
      </c>
      <c r="C264" s="5" t="s">
        <v>8</v>
      </c>
      <c r="D264" s="5" t="s">
        <v>9</v>
      </c>
      <c r="E264" s="5" t="s">
        <v>17</v>
      </c>
      <c r="F264" s="5" t="s">
        <v>65</v>
      </c>
      <c r="G264" s="7" t="s">
        <v>425</v>
      </c>
      <c r="H264" s="5" t="s">
        <v>13</v>
      </c>
    </row>
    <row r="265" spans="1:8" x14ac:dyDescent="0.25">
      <c r="A265" s="5">
        <v>264</v>
      </c>
      <c r="B265" s="5" t="str">
        <f>"STATIM-"&amp;C265&amp;"-"&amp;D265&amp;"-"&amp;TEXT(COUNTIFS($C$2:C265,C265,$D$2:D265,D265),"000")</f>
        <v>STATIM-UW-Motor-073</v>
      </c>
      <c r="C265" s="5" t="s">
        <v>8</v>
      </c>
      <c r="D265" s="5" t="s">
        <v>9</v>
      </c>
      <c r="E265" s="5" t="s">
        <v>426</v>
      </c>
      <c r="F265" s="5" t="s">
        <v>74</v>
      </c>
      <c r="G265" s="7" t="s">
        <v>427</v>
      </c>
      <c r="H265" s="5" t="s">
        <v>13</v>
      </c>
    </row>
    <row r="266" spans="1:8" ht="30" x14ac:dyDescent="0.25">
      <c r="A266" s="5">
        <v>265</v>
      </c>
      <c r="B266" s="5" t="str">
        <f>"STATIM-"&amp;C266&amp;"-"&amp;D266&amp;"-"&amp;TEXT(COUNTIFS($C$2:C266,C266,$D$2:D266,D266),"000")</f>
        <v>STATIM-UW-Motor-074</v>
      </c>
      <c r="C266" s="5" t="s">
        <v>8</v>
      </c>
      <c r="D266" s="5" t="s">
        <v>9</v>
      </c>
      <c r="E266" s="5" t="s">
        <v>426</v>
      </c>
      <c r="F266" s="5" t="s">
        <v>428</v>
      </c>
      <c r="G266" s="7" t="s">
        <v>429</v>
      </c>
      <c r="H266" s="5" t="s">
        <v>13</v>
      </c>
    </row>
    <row r="267" spans="1:8" x14ac:dyDescent="0.25">
      <c r="A267" s="5">
        <v>266</v>
      </c>
      <c r="B267" s="5" t="str">
        <f>"STATIM-"&amp;C267&amp;"-"&amp;D267&amp;"-"&amp;TEXT(COUNTIFS($C$2:C267,C267,$D$2:D267,D267),"000")</f>
        <v>STATIM-UW-Motor-075</v>
      </c>
      <c r="C267" s="5" t="s">
        <v>8</v>
      </c>
      <c r="D267" s="5" t="s">
        <v>9</v>
      </c>
      <c r="E267" s="5" t="s">
        <v>426</v>
      </c>
      <c r="F267" s="5" t="s">
        <v>430</v>
      </c>
      <c r="G267" s="7" t="s">
        <v>431</v>
      </c>
      <c r="H267" s="5" t="s">
        <v>13</v>
      </c>
    </row>
    <row r="268" spans="1:8" customFormat="1" x14ac:dyDescent="0.25">
      <c r="A268" s="5">
        <v>267</v>
      </c>
      <c r="B268" s="5" t="str">
        <f>"STATIM-"&amp;C268&amp;"-"&amp;D268&amp;"-"&amp;TEXT(COUNTIFS($C$2:C268,C268,$D$2:D268,D268),"000")</f>
        <v>STATIM-UW-Motor-076</v>
      </c>
      <c r="C268" s="5" t="s">
        <v>8</v>
      </c>
      <c r="D268" s="5" t="s">
        <v>9</v>
      </c>
      <c r="E268" s="5" t="s">
        <v>426</v>
      </c>
      <c r="F268" s="5" t="s">
        <v>432</v>
      </c>
      <c r="G268" s="7" t="s">
        <v>433</v>
      </c>
      <c r="H268" s="5" t="s">
        <v>13</v>
      </c>
    </row>
    <row r="269" spans="1:8" customFormat="1" x14ac:dyDescent="0.25">
      <c r="A269" s="5">
        <v>268</v>
      </c>
      <c r="B269" s="5" t="str">
        <f>"STATIM-"&amp;C269&amp;"-"&amp;D269&amp;"-"&amp;TEXT(COUNTIFS($C$2:C269,C269,$D$2:D269,D269),"000")</f>
        <v>STATIM-UW-Motor-077</v>
      </c>
      <c r="C269" s="5" t="s">
        <v>8</v>
      </c>
      <c r="D269" s="5" t="s">
        <v>9</v>
      </c>
      <c r="E269" s="5" t="s">
        <v>426</v>
      </c>
      <c r="F269" s="5" t="s">
        <v>434</v>
      </c>
      <c r="G269" s="7" t="s">
        <v>435</v>
      </c>
      <c r="H269" s="5" t="s">
        <v>13</v>
      </c>
    </row>
    <row r="270" spans="1:8" customFormat="1" ht="30" x14ac:dyDescent="0.25">
      <c r="A270" s="5">
        <v>269</v>
      </c>
      <c r="B270" s="5" t="str">
        <f>"STATIM-"&amp;C270&amp;"-"&amp;D270&amp;"-"&amp;TEXT(COUNTIFS($C$2:C270,C270,$D$2:D270,D270),"000")</f>
        <v>STATIM-UW-Motor-078</v>
      </c>
      <c r="C270" s="5" t="s">
        <v>8</v>
      </c>
      <c r="D270" s="5" t="s">
        <v>9</v>
      </c>
      <c r="E270" s="5" t="s">
        <v>426</v>
      </c>
      <c r="F270" s="5" t="s">
        <v>436</v>
      </c>
      <c r="G270" s="7" t="s">
        <v>437</v>
      </c>
      <c r="H270" s="5" t="s">
        <v>13</v>
      </c>
    </row>
    <row r="271" spans="1:8" customFormat="1" x14ac:dyDescent="0.25">
      <c r="A271" s="5">
        <v>270</v>
      </c>
      <c r="B271" s="5" t="str">
        <f>"STATIM-"&amp;C271&amp;"-"&amp;D271&amp;"-"&amp;TEXT(COUNTIFS($C$2:C271,C271,$D$2:D271,D271),"000")</f>
        <v>STATIM-UW-Motor-079</v>
      </c>
      <c r="C271" s="5" t="s">
        <v>8</v>
      </c>
      <c r="D271" s="5" t="s">
        <v>9</v>
      </c>
      <c r="E271" s="5" t="s">
        <v>426</v>
      </c>
      <c r="F271" s="5" t="s">
        <v>438</v>
      </c>
      <c r="G271" s="7" t="s">
        <v>439</v>
      </c>
      <c r="H271" s="5" t="s">
        <v>13</v>
      </c>
    </row>
    <row r="272" spans="1:8" customFormat="1" x14ac:dyDescent="0.25">
      <c r="A272" s="5">
        <v>271</v>
      </c>
      <c r="B272" s="5" t="str">
        <f>"STATIM-"&amp;C272&amp;"-"&amp;D272&amp;"-"&amp;TEXT(COUNTIFS($C$2:C272,C272,$D$2:D272,D272),"000")</f>
        <v>STATIM-UW-Motor-080</v>
      </c>
      <c r="C272" s="5" t="s">
        <v>8</v>
      </c>
      <c r="D272" s="5" t="s">
        <v>9</v>
      </c>
      <c r="E272" s="5" t="s">
        <v>426</v>
      </c>
      <c r="F272" s="5" t="s">
        <v>440</v>
      </c>
      <c r="G272" s="7" t="s">
        <v>439</v>
      </c>
      <c r="H272" s="5" t="s">
        <v>13</v>
      </c>
    </row>
    <row r="273" spans="1:8" customFormat="1" x14ac:dyDescent="0.25">
      <c r="A273" s="5">
        <v>272</v>
      </c>
      <c r="B273" s="5" t="str">
        <f>"STATIM-"&amp;C273&amp;"-"&amp;D273&amp;"-"&amp;TEXT(COUNTIFS($C$2:C273,C273,$D$2:D273,D273),"000")</f>
        <v>STATIM-UW-Motor-081</v>
      </c>
      <c r="C273" s="5" t="s">
        <v>8</v>
      </c>
      <c r="D273" s="5" t="s">
        <v>9</v>
      </c>
      <c r="E273" s="5" t="s">
        <v>426</v>
      </c>
      <c r="F273" s="7" t="s">
        <v>441</v>
      </c>
      <c r="G273" s="7" t="s">
        <v>442</v>
      </c>
      <c r="H273" s="5" t="s">
        <v>13</v>
      </c>
    </row>
    <row r="274" spans="1:8" customFormat="1" x14ac:dyDescent="0.25">
      <c r="A274" s="5">
        <v>273</v>
      </c>
      <c r="B274" s="5" t="str">
        <f>"STATIM-"&amp;C274&amp;"-"&amp;D274&amp;"-"&amp;TEXT(COUNTIFS($C$2:C274,C274,$D$2:D274,D274),"000")</f>
        <v>STATIM-UW-Motor-082</v>
      </c>
      <c r="C274" s="5" t="s">
        <v>8</v>
      </c>
      <c r="D274" s="5" t="s">
        <v>9</v>
      </c>
      <c r="E274" s="5" t="s">
        <v>426</v>
      </c>
      <c r="F274" s="7" t="s">
        <v>443</v>
      </c>
      <c r="G274" s="7" t="s">
        <v>442</v>
      </c>
      <c r="H274" s="5" t="s">
        <v>13</v>
      </c>
    </row>
    <row r="275" spans="1:8" customFormat="1" ht="45" x14ac:dyDescent="0.25">
      <c r="A275" s="5">
        <v>274</v>
      </c>
      <c r="B275" s="5" t="str">
        <f>"STATIM-"&amp;C275&amp;"-"&amp;D275&amp;"-"&amp;TEXT(COUNTIFS($C$2:C275,C275,$D$2:D275,D275),"000")</f>
        <v>STATIM-UW-Motor-083</v>
      </c>
      <c r="C275" s="5" t="s">
        <v>8</v>
      </c>
      <c r="D275" s="5" t="s">
        <v>9</v>
      </c>
      <c r="E275" s="5" t="s">
        <v>426</v>
      </c>
      <c r="F275" s="5" t="s">
        <v>444</v>
      </c>
      <c r="G275" s="7" t="s">
        <v>445</v>
      </c>
      <c r="H275" s="5" t="s">
        <v>13</v>
      </c>
    </row>
    <row r="276" spans="1:8" customFormat="1" x14ac:dyDescent="0.25">
      <c r="A276" s="5">
        <v>275</v>
      </c>
      <c r="B276" s="5" t="str">
        <f>"STATIM-"&amp;C276&amp;"-"&amp;D276&amp;"-"&amp;TEXT(COUNTIFS($C$2:C276,C276,$D$2:D276,D276),"000")</f>
        <v>STATIM-UW-Motor-084</v>
      </c>
      <c r="C276" s="5" t="s">
        <v>8</v>
      </c>
      <c r="D276" s="5" t="s">
        <v>9</v>
      </c>
      <c r="E276" s="5" t="s">
        <v>426</v>
      </c>
      <c r="F276" s="5" t="s">
        <v>446</v>
      </c>
      <c r="G276" s="7" t="s">
        <v>447</v>
      </c>
      <c r="H276" s="5" t="s">
        <v>13</v>
      </c>
    </row>
    <row r="277" spans="1:8" customFormat="1" ht="30" x14ac:dyDescent="0.25">
      <c r="A277" s="5">
        <v>276</v>
      </c>
      <c r="B277" s="5" t="str">
        <f>"STATIM-"&amp;C277&amp;"-"&amp;D277&amp;"-"&amp;TEXT(COUNTIFS($C$2:C277,C277,$D$2:D277,D277),"000")</f>
        <v>STATIM-UW-Motor-085</v>
      </c>
      <c r="C277" s="5" t="s">
        <v>8</v>
      </c>
      <c r="D277" s="5" t="s">
        <v>9</v>
      </c>
      <c r="E277" s="5" t="s">
        <v>426</v>
      </c>
      <c r="F277" s="5" t="s">
        <v>448</v>
      </c>
      <c r="G277" s="7" t="s">
        <v>449</v>
      </c>
      <c r="H277" s="5" t="s">
        <v>13</v>
      </c>
    </row>
    <row r="278" spans="1:8" customFormat="1" x14ac:dyDescent="0.25">
      <c r="A278" s="5">
        <v>277</v>
      </c>
      <c r="B278" s="5" t="str">
        <f>"STATIM-"&amp;C278&amp;"-"&amp;D278&amp;"-"&amp;TEXT(COUNTIFS($C$2:C278,C278,$D$2:D278,D278),"000")</f>
        <v>STATIM-UW-Motor-086</v>
      </c>
      <c r="C278" s="5" t="s">
        <v>8</v>
      </c>
      <c r="D278" s="5" t="s">
        <v>9</v>
      </c>
      <c r="E278" s="5" t="s">
        <v>426</v>
      </c>
      <c r="F278" s="5" t="s">
        <v>450</v>
      </c>
      <c r="G278" s="7" t="s">
        <v>451</v>
      </c>
      <c r="H278" s="5" t="s">
        <v>13</v>
      </c>
    </row>
    <row r="279" spans="1:8" customFormat="1" ht="30" x14ac:dyDescent="0.25">
      <c r="A279" s="5">
        <v>278</v>
      </c>
      <c r="B279" s="5" t="str">
        <f>"STATIM-"&amp;C279&amp;"-"&amp;D279&amp;"-"&amp;TEXT(COUNTIFS($C$2:C279,C279,$D$2:D279,D279),"000")</f>
        <v>STATIM-Claims-Motor-036</v>
      </c>
      <c r="C279" s="5" t="s">
        <v>95</v>
      </c>
      <c r="D279" s="5" t="s">
        <v>9</v>
      </c>
      <c r="E279" s="5" t="s">
        <v>426</v>
      </c>
      <c r="F279" s="5" t="s">
        <v>452</v>
      </c>
      <c r="G279" s="7" t="s">
        <v>453</v>
      </c>
      <c r="H279" s="5" t="s">
        <v>13</v>
      </c>
    </row>
    <row r="280" spans="1:8" customFormat="1" ht="60" x14ac:dyDescent="0.25">
      <c r="A280" s="5">
        <v>279</v>
      </c>
      <c r="B280" s="5" t="str">
        <f>"STATIM-"&amp;C280&amp;"-"&amp;D280&amp;"-"&amp;TEXT(COUNTIFS($C$2:C280,C280,$D$2:D280,D280),"000")</f>
        <v>STATIM-Claims-Motor-037</v>
      </c>
      <c r="C280" s="5" t="s">
        <v>95</v>
      </c>
      <c r="D280" s="5" t="s">
        <v>9</v>
      </c>
      <c r="E280" s="5" t="s">
        <v>426</v>
      </c>
      <c r="F280" s="5" t="s">
        <v>454</v>
      </c>
      <c r="G280" s="7" t="s">
        <v>455</v>
      </c>
      <c r="H280" s="5" t="s">
        <v>268</v>
      </c>
    </row>
    <row r="281" spans="1:8" customFormat="1" ht="75" x14ac:dyDescent="0.25">
      <c r="A281" s="5">
        <v>280</v>
      </c>
      <c r="B281" s="5" t="str">
        <f>"STATIM-"&amp;C281&amp;"-"&amp;D281&amp;"-"&amp;TEXT(COUNTIFS($C$2:C281,C281,$D$2:D281,D281),"000")</f>
        <v>STATIM-Claims-Motor-038</v>
      </c>
      <c r="C281" s="5" t="s">
        <v>95</v>
      </c>
      <c r="D281" s="5" t="s">
        <v>9</v>
      </c>
      <c r="E281" s="5" t="s">
        <v>426</v>
      </c>
      <c r="F281" s="5" t="s">
        <v>456</v>
      </c>
      <c r="G281" s="7" t="s">
        <v>457</v>
      </c>
      <c r="H281" s="5" t="s">
        <v>13</v>
      </c>
    </row>
    <row r="282" spans="1:8" customFormat="1" ht="30" x14ac:dyDescent="0.25">
      <c r="A282" s="5">
        <v>281</v>
      </c>
      <c r="B282" s="5" t="str">
        <f>"STATIM-"&amp;C282&amp;"-"&amp;D282&amp;"-"&amp;TEXT(COUNTIFS($C$2:C282,C282,$D$2:D282,D282),"000")</f>
        <v>STATIM-Claims-Motor-039</v>
      </c>
      <c r="C282" s="5" t="s">
        <v>95</v>
      </c>
      <c r="D282" s="5" t="s">
        <v>9</v>
      </c>
      <c r="E282" s="5" t="s">
        <v>426</v>
      </c>
      <c r="F282" s="5" t="s">
        <v>458</v>
      </c>
      <c r="G282" s="7" t="s">
        <v>459</v>
      </c>
      <c r="H282" s="5" t="s">
        <v>13</v>
      </c>
    </row>
    <row r="283" spans="1:8" customFormat="1" ht="30" x14ac:dyDescent="0.25">
      <c r="A283" s="5">
        <v>282</v>
      </c>
      <c r="B283" s="5" t="str">
        <f>"STATIM-"&amp;C283&amp;"-"&amp;D283&amp;"-"&amp;TEXT(COUNTIFS($C$2:C283,C283,$D$2:D283,D283),"000")</f>
        <v>STATIM-Claims-Motor-040</v>
      </c>
      <c r="C283" s="5" t="s">
        <v>95</v>
      </c>
      <c r="D283" s="5" t="s">
        <v>9</v>
      </c>
      <c r="E283" s="5" t="s">
        <v>426</v>
      </c>
      <c r="F283" s="5" t="s">
        <v>460</v>
      </c>
      <c r="G283" s="7" t="s">
        <v>461</v>
      </c>
      <c r="H283" s="5" t="s">
        <v>13</v>
      </c>
    </row>
    <row r="284" spans="1:8" customFormat="1" ht="30" x14ac:dyDescent="0.25">
      <c r="A284" s="5">
        <v>283</v>
      </c>
      <c r="B284" s="5" t="str">
        <f>"STATIM-"&amp;C284&amp;"-"&amp;D284&amp;"-"&amp;TEXT(COUNTIFS($C$2:C284,C284,$D$2:D284,D284),"000")</f>
        <v>STATIM-Claims-Motor-041</v>
      </c>
      <c r="C284" s="5" t="s">
        <v>95</v>
      </c>
      <c r="D284" s="5" t="s">
        <v>9</v>
      </c>
      <c r="E284" s="5" t="s">
        <v>426</v>
      </c>
      <c r="F284" s="5" t="s">
        <v>462</v>
      </c>
      <c r="G284" s="7" t="s">
        <v>463</v>
      </c>
      <c r="H284" s="5" t="s">
        <v>13</v>
      </c>
    </row>
    <row r="285" spans="1:8" customFormat="1" x14ac:dyDescent="0.25">
      <c r="A285" s="5">
        <v>284</v>
      </c>
      <c r="B285" s="5" t="str">
        <f>"STATIM-"&amp;C285&amp;"-"&amp;D285&amp;"-"&amp;TEXT(COUNTIFS($C$2:C285,C285,$D$2:D285,D285),"000")</f>
        <v>STATIM-Claims-Motor-042</v>
      </c>
      <c r="C285" s="5" t="s">
        <v>95</v>
      </c>
      <c r="D285" s="5" t="s">
        <v>9</v>
      </c>
      <c r="E285" s="5" t="s">
        <v>426</v>
      </c>
      <c r="F285" s="5" t="s">
        <v>464</v>
      </c>
      <c r="G285" s="7" t="s">
        <v>465</v>
      </c>
      <c r="H285" s="5" t="s">
        <v>13</v>
      </c>
    </row>
    <row r="286" spans="1:8" customFormat="1" ht="60" x14ac:dyDescent="0.25">
      <c r="A286" s="5">
        <v>285</v>
      </c>
      <c r="B286" s="5" t="str">
        <f>"STATIM-"&amp;C286&amp;"-"&amp;D286&amp;"-"&amp;TEXT(COUNTIFS($C$2:C286,C286,$D$2:D286,D286),"000")</f>
        <v>STATIM-Claims-Motor-043</v>
      </c>
      <c r="C286" s="5" t="s">
        <v>95</v>
      </c>
      <c r="D286" s="5" t="s">
        <v>9</v>
      </c>
      <c r="E286" s="5" t="s">
        <v>426</v>
      </c>
      <c r="F286" s="5" t="s">
        <v>466</v>
      </c>
      <c r="G286" s="7" t="s">
        <v>467</v>
      </c>
      <c r="H286" s="5" t="s">
        <v>13</v>
      </c>
    </row>
    <row r="287" spans="1:8" customFormat="1" ht="60" x14ac:dyDescent="0.25">
      <c r="A287" s="5">
        <v>286</v>
      </c>
      <c r="B287" s="5" t="str">
        <f>"STATIM-"&amp;C287&amp;"-"&amp;D287&amp;"-"&amp;TEXT(COUNTIFS($C$2:C287,C287,$D$2:D287,D287),"000")</f>
        <v>STATIM-Claims-Motor-044</v>
      </c>
      <c r="C287" s="5" t="s">
        <v>95</v>
      </c>
      <c r="D287" s="5" t="s">
        <v>9</v>
      </c>
      <c r="E287" s="5" t="s">
        <v>426</v>
      </c>
      <c r="F287" s="5" t="s">
        <v>468</v>
      </c>
      <c r="G287" s="7" t="s">
        <v>469</v>
      </c>
      <c r="H287" s="5" t="s">
        <v>13</v>
      </c>
    </row>
    <row r="288" spans="1:8" customFormat="1" ht="210" x14ac:dyDescent="0.25">
      <c r="A288" s="5">
        <v>287</v>
      </c>
      <c r="B288" s="5" t="str">
        <f>"STATIM-"&amp;C288&amp;"-"&amp;D288&amp;"-"&amp;TEXT(COUNTIFS($C$2:C288,C288,$D$2:D288,D288),"000")</f>
        <v>STATIM-Claims-Motor-045</v>
      </c>
      <c r="C288" s="5" t="s">
        <v>95</v>
      </c>
      <c r="D288" s="5" t="s">
        <v>9</v>
      </c>
      <c r="E288" s="5" t="s">
        <v>426</v>
      </c>
      <c r="F288" s="5" t="s">
        <v>470</v>
      </c>
      <c r="G288" s="7" t="s">
        <v>471</v>
      </c>
      <c r="H288" s="5" t="s">
        <v>268</v>
      </c>
    </row>
    <row r="289" spans="1:8" customFormat="1" ht="30" x14ac:dyDescent="0.25">
      <c r="A289" s="5">
        <v>288</v>
      </c>
      <c r="B289" s="5" t="str">
        <f>"STATIM-"&amp;C289&amp;"-"&amp;D289&amp;"-"&amp;TEXT(COUNTIFS($C$2:C289,C289,$D$2:D289,D289),"000")</f>
        <v>STATIM-Claims-Motor-046</v>
      </c>
      <c r="C289" s="5" t="s">
        <v>95</v>
      </c>
      <c r="D289" s="5" t="s">
        <v>9</v>
      </c>
      <c r="E289" s="5" t="s">
        <v>426</v>
      </c>
      <c r="F289" s="5" t="s">
        <v>472</v>
      </c>
      <c r="G289" s="7" t="s">
        <v>473</v>
      </c>
      <c r="H289" s="5" t="s">
        <v>13</v>
      </c>
    </row>
    <row r="290" spans="1:8" customFormat="1" ht="30" x14ac:dyDescent="0.25">
      <c r="A290" s="5">
        <v>289</v>
      </c>
      <c r="B290" s="5" t="str">
        <f>"STATIM-"&amp;C290&amp;"-"&amp;D290&amp;"-"&amp;TEXT(COUNTIFS($C$2:C290,C290,$D$2:D290,D290),"000")</f>
        <v>STATIM-Claims-Motor-047</v>
      </c>
      <c r="C290" s="5" t="s">
        <v>95</v>
      </c>
      <c r="D290" s="5" t="s">
        <v>9</v>
      </c>
      <c r="E290" s="5" t="s">
        <v>426</v>
      </c>
      <c r="F290" s="5" t="s">
        <v>474</v>
      </c>
      <c r="G290" s="7" t="s">
        <v>475</v>
      </c>
      <c r="H290" s="5" t="s">
        <v>13</v>
      </c>
    </row>
    <row r="291" spans="1:8" customFormat="1" ht="30" x14ac:dyDescent="0.25">
      <c r="A291" s="5">
        <v>290</v>
      </c>
      <c r="B291" s="5" t="str">
        <f>"STATIM-"&amp;C291&amp;"-"&amp;D291&amp;"-"&amp;TEXT(COUNTIFS($C$2:C291,C291,$D$2:D291,D291),"000")</f>
        <v>STATIM-Claims-Motor-048</v>
      </c>
      <c r="C291" s="5" t="s">
        <v>95</v>
      </c>
      <c r="D291" s="5" t="s">
        <v>9</v>
      </c>
      <c r="E291" s="5" t="s">
        <v>426</v>
      </c>
      <c r="F291" s="5" t="s">
        <v>476</v>
      </c>
      <c r="G291" s="7" t="s">
        <v>477</v>
      </c>
      <c r="H291" s="5" t="s">
        <v>13</v>
      </c>
    </row>
    <row r="292" spans="1:8" customFormat="1" x14ac:dyDescent="0.25">
      <c r="A292" s="5">
        <v>291</v>
      </c>
      <c r="B292" s="5" t="str">
        <f>"STATIM-"&amp;C292&amp;"-"&amp;D292&amp;"-"&amp;TEXT(COUNTIFS($C$2:C292,C292,$D$2:D292,D292),"000")</f>
        <v>STATIM-Claims-Motor-049</v>
      </c>
      <c r="C292" s="5" t="s">
        <v>95</v>
      </c>
      <c r="D292" s="5" t="s">
        <v>9</v>
      </c>
      <c r="E292" s="5" t="s">
        <v>426</v>
      </c>
      <c r="F292" s="5" t="s">
        <v>478</v>
      </c>
      <c r="G292" s="7" t="s">
        <v>479</v>
      </c>
      <c r="H292" s="5" t="s">
        <v>13</v>
      </c>
    </row>
    <row r="293" spans="1:8" customFormat="1" ht="30" x14ac:dyDescent="0.25">
      <c r="A293" s="5">
        <v>292</v>
      </c>
      <c r="B293" s="5" t="str">
        <f>"STATIM-"&amp;C293&amp;"-"&amp;D293&amp;"-"&amp;TEXT(COUNTIFS($C$2:C293,C293,$D$2:D293,D293),"000")</f>
        <v>STATIM-Claims-Motor-050</v>
      </c>
      <c r="C293" s="5" t="s">
        <v>95</v>
      </c>
      <c r="D293" s="5" t="s">
        <v>9</v>
      </c>
      <c r="E293" s="5" t="s">
        <v>426</v>
      </c>
      <c r="F293" s="5" t="s">
        <v>480</v>
      </c>
      <c r="G293" s="7" t="s">
        <v>481</v>
      </c>
      <c r="H293" s="5" t="s">
        <v>13</v>
      </c>
    </row>
    <row r="294" spans="1:8" customFormat="1" ht="45" x14ac:dyDescent="0.25">
      <c r="A294" s="5">
        <v>293</v>
      </c>
      <c r="B294" s="5" t="str">
        <f>"STATIM-"&amp;C294&amp;"-"&amp;D294&amp;"-"&amp;TEXT(COUNTIFS($C$2:C294,C294,$D$2:D294,D294),"000")</f>
        <v>STATIM-Claims-Motor-051</v>
      </c>
      <c r="C294" s="5" t="s">
        <v>95</v>
      </c>
      <c r="D294" s="5" t="s">
        <v>9</v>
      </c>
      <c r="E294" s="5" t="s">
        <v>426</v>
      </c>
      <c r="F294" s="5" t="s">
        <v>482</v>
      </c>
      <c r="G294" s="7" t="s">
        <v>483</v>
      </c>
      <c r="H294" s="5" t="s">
        <v>13</v>
      </c>
    </row>
    <row r="295" spans="1:8" customFormat="1" ht="30" x14ac:dyDescent="0.25">
      <c r="A295" s="5">
        <v>294</v>
      </c>
      <c r="B295" s="5" t="str">
        <f>"STATIM-"&amp;C295&amp;"-"&amp;D295&amp;"-"&amp;TEXT(COUNTIFS($C$2:C295,C295,$D$2:D295,D295),"000")</f>
        <v>STATIM-Claims-Motor-052</v>
      </c>
      <c r="C295" s="5" t="s">
        <v>95</v>
      </c>
      <c r="D295" s="5" t="s">
        <v>9</v>
      </c>
      <c r="E295" s="5" t="s">
        <v>426</v>
      </c>
      <c r="F295" s="5" t="s">
        <v>484</v>
      </c>
      <c r="G295" s="7" t="s">
        <v>473</v>
      </c>
      <c r="H295" s="5" t="s">
        <v>13</v>
      </c>
    </row>
    <row r="296" spans="1:8" customFormat="1" ht="45" x14ac:dyDescent="0.25">
      <c r="A296" s="5">
        <v>295</v>
      </c>
      <c r="B296" s="5" t="str">
        <f>"STATIM-"&amp;C296&amp;"-"&amp;D296&amp;"-"&amp;TEXT(COUNTIFS($C$2:C296,C296,$D$2:D296,D296),"000")</f>
        <v>STATIM-Claims-Motor-053</v>
      </c>
      <c r="C296" s="5" t="s">
        <v>95</v>
      </c>
      <c r="D296" s="5" t="s">
        <v>9</v>
      </c>
      <c r="E296" s="5" t="s">
        <v>426</v>
      </c>
      <c r="F296" s="5" t="s">
        <v>485</v>
      </c>
      <c r="G296" s="7" t="s">
        <v>486</v>
      </c>
      <c r="H296" s="5" t="s">
        <v>13</v>
      </c>
    </row>
    <row r="297" spans="1:8" customFormat="1" x14ac:dyDescent="0.25">
      <c r="A297" s="5">
        <v>296</v>
      </c>
      <c r="B297" s="5" t="str">
        <f>"STATIM-"&amp;C297&amp;"-"&amp;D297&amp;"-"&amp;TEXT(COUNTIFS($C$2:C297,C297,$D$2:D297,D297),"000")</f>
        <v>STATIM-UW-General-024</v>
      </c>
      <c r="C297" s="5" t="s">
        <v>8</v>
      </c>
      <c r="D297" s="5" t="s">
        <v>159</v>
      </c>
      <c r="E297" s="5" t="s">
        <v>426</v>
      </c>
      <c r="F297" s="5" t="s">
        <v>487</v>
      </c>
      <c r="G297" s="7" t="s">
        <v>488</v>
      </c>
      <c r="H297" s="5" t="s">
        <v>13</v>
      </c>
    </row>
    <row r="298" spans="1:8" customFormat="1" ht="30" x14ac:dyDescent="0.25">
      <c r="A298" s="5">
        <v>297</v>
      </c>
      <c r="B298" s="5" t="str">
        <f>"STATIM-"&amp;C298&amp;"-"&amp;D298&amp;"-"&amp;TEXT(COUNTIFS($C$2:C298,C298,$D$2:D298,D298),"000")</f>
        <v>STATIM-UW-General-025</v>
      </c>
      <c r="C298" s="5" t="s">
        <v>8</v>
      </c>
      <c r="D298" s="5" t="s">
        <v>159</v>
      </c>
      <c r="E298" s="5" t="s">
        <v>426</v>
      </c>
      <c r="F298" s="5" t="s">
        <v>489</v>
      </c>
      <c r="G298" s="7" t="s">
        <v>490</v>
      </c>
      <c r="H298" s="5" t="s">
        <v>13</v>
      </c>
    </row>
    <row r="299" spans="1:8" customFormat="1" ht="75" x14ac:dyDescent="0.25">
      <c r="A299" s="5">
        <v>298</v>
      </c>
      <c r="B299" s="5" t="str">
        <f>"STATIM-"&amp;C299&amp;"-"&amp;D299&amp;"-"&amp;TEXT(COUNTIFS($C$2:C299,C299,$D$2:D299,D299),"000")</f>
        <v>STATIM-UW-General-026</v>
      </c>
      <c r="C299" s="5" t="s">
        <v>8</v>
      </c>
      <c r="D299" s="5" t="s">
        <v>159</v>
      </c>
      <c r="E299" s="5" t="s">
        <v>426</v>
      </c>
      <c r="F299" s="5" t="s">
        <v>430</v>
      </c>
      <c r="G299" s="7" t="s">
        <v>491</v>
      </c>
      <c r="H299" s="5" t="s">
        <v>13</v>
      </c>
    </row>
    <row r="300" spans="1:8" customFormat="1" x14ac:dyDescent="0.25">
      <c r="A300" s="5">
        <v>299</v>
      </c>
      <c r="B300" s="5" t="str">
        <f>"STATIM-"&amp;C300&amp;"-"&amp;D300&amp;"-"&amp;TEXT(COUNTIFS($C$2:C300,C300,$D$2:D300,D300),"000")</f>
        <v>STATIM-UW-General-027</v>
      </c>
      <c r="C300" s="5" t="s">
        <v>8</v>
      </c>
      <c r="D300" s="5" t="s">
        <v>159</v>
      </c>
      <c r="E300" s="5" t="s">
        <v>426</v>
      </c>
      <c r="F300" s="5" t="s">
        <v>492</v>
      </c>
      <c r="G300" s="7" t="s">
        <v>493</v>
      </c>
      <c r="H300" s="5" t="s">
        <v>13</v>
      </c>
    </row>
    <row r="301" spans="1:8" customFormat="1" ht="60" x14ac:dyDescent="0.25">
      <c r="A301" s="5">
        <v>300</v>
      </c>
      <c r="B301" s="5" t="str">
        <f>"STATIM-"&amp;C301&amp;"-"&amp;D301&amp;"-"&amp;TEXT(COUNTIFS($C$2:C301,C301,$D$2:D301,D301),"000")</f>
        <v>STATIM-UW-General-028</v>
      </c>
      <c r="C301" s="5" t="s">
        <v>8</v>
      </c>
      <c r="D301" s="5" t="s">
        <v>159</v>
      </c>
      <c r="E301" s="5" t="s">
        <v>426</v>
      </c>
      <c r="F301" s="5" t="s">
        <v>494</v>
      </c>
      <c r="G301" s="7" t="s">
        <v>495</v>
      </c>
      <c r="H301" s="5" t="s">
        <v>43</v>
      </c>
    </row>
    <row r="302" spans="1:8" customFormat="1" x14ac:dyDescent="0.25">
      <c r="A302" s="5">
        <v>301</v>
      </c>
      <c r="B302" s="5" t="str">
        <f>"STATIM-"&amp;C302&amp;"-"&amp;D302&amp;"-"&amp;TEXT(COUNTIFS($C$2:C302,C302,$D$2:D302,D302),"000")</f>
        <v>STATIM-UW-General-029</v>
      </c>
      <c r="C302" s="5" t="s">
        <v>8</v>
      </c>
      <c r="D302" s="5" t="s">
        <v>159</v>
      </c>
      <c r="E302" s="5" t="s">
        <v>17</v>
      </c>
      <c r="F302" s="5" t="s">
        <v>324</v>
      </c>
      <c r="G302" s="7" t="s">
        <v>496</v>
      </c>
      <c r="H302" s="5" t="s">
        <v>13</v>
      </c>
    </row>
    <row r="303" spans="1:8" customFormat="1" x14ac:dyDescent="0.25">
      <c r="A303" s="5">
        <v>302</v>
      </c>
      <c r="B303" s="5" t="str">
        <f>"STATIM-"&amp;C303&amp;"-"&amp;D303&amp;"-"&amp;TEXT(COUNTIFS($C$2:C303,C303,$D$2:D303,D303),"000")</f>
        <v>STATIM-UW-Motor-087</v>
      </c>
      <c r="C303" s="5" t="s">
        <v>8</v>
      </c>
      <c r="D303" s="5" t="s">
        <v>9</v>
      </c>
      <c r="E303" s="5" t="s">
        <v>497</v>
      </c>
      <c r="F303" s="5" t="s">
        <v>497</v>
      </c>
      <c r="G303" s="7" t="s">
        <v>498</v>
      </c>
      <c r="H303" s="5" t="s">
        <v>13</v>
      </c>
    </row>
    <row r="304" spans="1:8" customFormat="1" ht="75" x14ac:dyDescent="0.25">
      <c r="A304" s="5">
        <v>303</v>
      </c>
      <c r="B304" s="5" t="str">
        <f>"STATIM-"&amp;C304&amp;"-"&amp;D304&amp;"-"&amp;TEXT(COUNTIFS($C$2:C304,C304,$D$2:D304,D304),"000")</f>
        <v>STATIM-UW-Motor-088</v>
      </c>
      <c r="C304" s="5" t="s">
        <v>8</v>
      </c>
      <c r="D304" s="5" t="s">
        <v>9</v>
      </c>
      <c r="E304" s="5" t="s">
        <v>497</v>
      </c>
      <c r="F304" s="5" t="s">
        <v>499</v>
      </c>
      <c r="G304" s="7" t="s">
        <v>500</v>
      </c>
      <c r="H304" s="5" t="s">
        <v>64</v>
      </c>
    </row>
    <row r="305" spans="1:8" customFormat="1" ht="45" x14ac:dyDescent="0.25">
      <c r="A305" s="5">
        <v>304</v>
      </c>
      <c r="B305" s="5" t="str">
        <f>"STATIM-"&amp;C305&amp;"-"&amp;D305&amp;"-"&amp;TEXT(COUNTIFS($C$2:C305,C305,$D$2:D305,D305),"000")</f>
        <v>STATIM-UW-Motor-089</v>
      </c>
      <c r="C305" s="5" t="s">
        <v>8</v>
      </c>
      <c r="D305" s="5" t="s">
        <v>9</v>
      </c>
      <c r="E305" s="5" t="s">
        <v>497</v>
      </c>
      <c r="F305" s="5" t="s">
        <v>499</v>
      </c>
      <c r="G305" s="7" t="s">
        <v>501</v>
      </c>
      <c r="H305" s="5" t="s">
        <v>64</v>
      </c>
    </row>
    <row r="306" spans="1:8" customFormat="1" ht="60" x14ac:dyDescent="0.25">
      <c r="A306" s="5">
        <v>305</v>
      </c>
      <c r="B306" s="5" t="str">
        <f>"STATIM-"&amp;C306&amp;"-"&amp;D306&amp;"-"&amp;TEXT(COUNTIFS($C$2:C306,C306,$D$2:D306,D306),"000")</f>
        <v>STATIM-UW-Motor-090</v>
      </c>
      <c r="C306" s="5" t="s">
        <v>8</v>
      </c>
      <c r="D306" s="5" t="s">
        <v>9</v>
      </c>
      <c r="E306" s="5" t="s">
        <v>497</v>
      </c>
      <c r="F306" s="5" t="s">
        <v>502</v>
      </c>
      <c r="G306" s="7" t="s">
        <v>503</v>
      </c>
      <c r="H306" s="5" t="s">
        <v>13</v>
      </c>
    </row>
    <row r="307" spans="1:8" customFormat="1" ht="60" x14ac:dyDescent="0.25">
      <c r="A307" s="5">
        <v>306</v>
      </c>
      <c r="B307" s="5" t="str">
        <f>"STATIM-"&amp;C307&amp;"-"&amp;D307&amp;"-"&amp;TEXT(COUNTIFS($C$2:C307,C307,$D$2:D307,D307),"000")</f>
        <v>STATIM-UW-Motor-091</v>
      </c>
      <c r="C307" s="5" t="s">
        <v>8</v>
      </c>
      <c r="D307" s="5" t="s">
        <v>9</v>
      </c>
      <c r="E307" s="5" t="s">
        <v>497</v>
      </c>
      <c r="F307" s="5" t="s">
        <v>504</v>
      </c>
      <c r="G307" s="7" t="s">
        <v>505</v>
      </c>
      <c r="H307" s="5" t="s">
        <v>64</v>
      </c>
    </row>
    <row r="308" spans="1:8" customFormat="1" ht="30" x14ac:dyDescent="0.25">
      <c r="A308" s="5">
        <v>307</v>
      </c>
      <c r="B308" s="5" t="str">
        <f>"STATIM-"&amp;C308&amp;"-"&amp;D308&amp;"-"&amp;TEXT(COUNTIFS($C$2:C308,C308,$D$2:D308,D308),"000")</f>
        <v>STATIM-Claims-Motor-054</v>
      </c>
      <c r="C308" s="5" t="s">
        <v>95</v>
      </c>
      <c r="D308" s="5" t="s">
        <v>9</v>
      </c>
      <c r="E308" s="5" t="s">
        <v>497</v>
      </c>
      <c r="F308" s="5" t="s">
        <v>506</v>
      </c>
      <c r="G308" s="7" t="s">
        <v>507</v>
      </c>
      <c r="H308" s="5" t="s">
        <v>64</v>
      </c>
    </row>
    <row r="309" spans="1:8" customFormat="1" ht="60" x14ac:dyDescent="0.25">
      <c r="A309" s="5">
        <v>308</v>
      </c>
      <c r="B309" s="5" t="str">
        <f>"STATIM-"&amp;C309&amp;"-"&amp;D309&amp;"-"&amp;TEXT(COUNTIFS($C$2:C309,C309,$D$2:D309,D309),"000")</f>
        <v>STATIM-Claims-Motor-055</v>
      </c>
      <c r="C309" s="5" t="s">
        <v>95</v>
      </c>
      <c r="D309" s="5" t="s">
        <v>9</v>
      </c>
      <c r="E309" s="5" t="s">
        <v>497</v>
      </c>
      <c r="F309" s="5" t="s">
        <v>508</v>
      </c>
      <c r="G309" s="7" t="s">
        <v>509</v>
      </c>
      <c r="H309" s="5" t="s">
        <v>64</v>
      </c>
    </row>
    <row r="310" spans="1:8" customFormat="1" ht="30" x14ac:dyDescent="0.25">
      <c r="A310" s="5">
        <v>309</v>
      </c>
      <c r="B310" s="5" t="str">
        <f>"STATIM-"&amp;C310&amp;"-"&amp;D310&amp;"-"&amp;TEXT(COUNTIFS($C$2:C310,C310,$D$2:D310,D310),"000")</f>
        <v>STATIM-Claims-Motor-056</v>
      </c>
      <c r="C310" s="5" t="s">
        <v>95</v>
      </c>
      <c r="D310" s="5" t="s">
        <v>9</v>
      </c>
      <c r="E310" s="5" t="s">
        <v>497</v>
      </c>
      <c r="F310" s="5" t="s">
        <v>508</v>
      </c>
      <c r="G310" s="7" t="s">
        <v>510</v>
      </c>
      <c r="H310" s="5" t="s">
        <v>64</v>
      </c>
    </row>
    <row r="311" spans="1:8" customFormat="1" ht="30" x14ac:dyDescent="0.25">
      <c r="A311" s="5">
        <v>310</v>
      </c>
      <c r="B311" s="5" t="str">
        <f>"STATIM-"&amp;C311&amp;"-"&amp;D311&amp;"-"&amp;TEXT(COUNTIFS($C$2:C311,C311,$D$2:D311,D311),"000")</f>
        <v>STATIM-Claims-Motor-057</v>
      </c>
      <c r="C311" s="5" t="s">
        <v>95</v>
      </c>
      <c r="D311" s="5" t="s">
        <v>9</v>
      </c>
      <c r="E311" s="5" t="s">
        <v>497</v>
      </c>
      <c r="F311" s="5" t="s">
        <v>511</v>
      </c>
      <c r="G311" s="7" t="s">
        <v>512</v>
      </c>
      <c r="H311" s="5" t="s">
        <v>64</v>
      </c>
    </row>
    <row r="312" spans="1:8" customFormat="1" ht="30" x14ac:dyDescent="0.25">
      <c r="A312" s="5">
        <v>311</v>
      </c>
      <c r="B312" s="5" t="str">
        <f>"STATIM-"&amp;C312&amp;"-"&amp;D312&amp;"-"&amp;TEXT(COUNTIFS($C$2:C312,C312,$D$2:D312,D312),"000")</f>
        <v>STATIM-Claims-Motor-058</v>
      </c>
      <c r="C312" s="5" t="s">
        <v>95</v>
      </c>
      <c r="D312" s="5" t="s">
        <v>9</v>
      </c>
      <c r="E312" s="5" t="s">
        <v>497</v>
      </c>
      <c r="F312" s="5" t="s">
        <v>513</v>
      </c>
      <c r="G312" s="7" t="s">
        <v>514</v>
      </c>
      <c r="H312" s="5" t="s">
        <v>13</v>
      </c>
    </row>
    <row r="313" spans="1:8" customFormat="1" ht="60" x14ac:dyDescent="0.25">
      <c r="A313" s="5">
        <v>312</v>
      </c>
      <c r="B313" s="5" t="str">
        <f>"STATIM-"&amp;C313&amp;"-"&amp;D313&amp;"-"&amp;TEXT(COUNTIFS($C$2:C313,C313,$D$2:D313,D313),"000")</f>
        <v>STATIM-Claims-Motor-059</v>
      </c>
      <c r="C313" s="5" t="s">
        <v>95</v>
      </c>
      <c r="D313" s="5" t="s">
        <v>9</v>
      </c>
      <c r="E313" s="5" t="s">
        <v>497</v>
      </c>
      <c r="F313" s="5" t="s">
        <v>515</v>
      </c>
      <c r="G313" s="7" t="s">
        <v>516</v>
      </c>
      <c r="H313" s="5" t="s">
        <v>64</v>
      </c>
    </row>
    <row r="314" spans="1:8" customFormat="1" ht="75" x14ac:dyDescent="0.25">
      <c r="A314" s="5">
        <v>313</v>
      </c>
      <c r="B314" s="5" t="str">
        <f>"STATIM-"&amp;C314&amp;"-"&amp;D314&amp;"-"&amp;TEXT(COUNTIFS($C$2:C314,C314,$D$2:D314,D314),"000")</f>
        <v>STATIM-Claims-Motor-060</v>
      </c>
      <c r="C314" s="5" t="s">
        <v>95</v>
      </c>
      <c r="D314" s="5" t="s">
        <v>9</v>
      </c>
      <c r="E314" s="5" t="s">
        <v>497</v>
      </c>
      <c r="F314" s="5" t="s">
        <v>517</v>
      </c>
      <c r="G314" s="7" t="s">
        <v>518</v>
      </c>
      <c r="H314" s="5" t="s">
        <v>64</v>
      </c>
    </row>
    <row r="315" spans="1:8" customFormat="1" x14ac:dyDescent="0.25">
      <c r="A315" s="5">
        <v>314</v>
      </c>
      <c r="B315" s="5" t="str">
        <f>"STATIM-"&amp;C315&amp;"-"&amp;D315&amp;"-"&amp;TEXT(COUNTIFS($C$2:C315,C315,$D$2:D315,D315),"000")</f>
        <v>STATIM-Claims-Motor-061</v>
      </c>
      <c r="C315" s="5" t="s">
        <v>95</v>
      </c>
      <c r="D315" s="5" t="s">
        <v>9</v>
      </c>
      <c r="E315" s="5" t="s">
        <v>95</v>
      </c>
      <c r="F315" s="5" t="s">
        <v>517</v>
      </c>
      <c r="G315" s="7" t="s">
        <v>519</v>
      </c>
      <c r="H315" s="5" t="s">
        <v>43</v>
      </c>
    </row>
    <row r="316" spans="1:8" customFormat="1" ht="75" x14ac:dyDescent="0.25">
      <c r="A316" s="5">
        <v>315</v>
      </c>
      <c r="B316" s="5" t="str">
        <f>"STATIM-"&amp;C316&amp;"-"&amp;D316&amp;"-"&amp;TEXT(COUNTIFS($C$2:C316,C316,$D$2:D316,D316),"000")</f>
        <v>STATIM-Claims-Motor-062</v>
      </c>
      <c r="C316" s="5" t="s">
        <v>95</v>
      </c>
      <c r="D316" s="5" t="s">
        <v>9</v>
      </c>
      <c r="E316" s="5" t="s">
        <v>95</v>
      </c>
      <c r="F316" s="5" t="s">
        <v>520</v>
      </c>
      <c r="G316" s="7" t="s">
        <v>521</v>
      </c>
      <c r="H316" s="5" t="s">
        <v>13</v>
      </c>
    </row>
    <row r="317" spans="1:8" customFormat="1" ht="30" x14ac:dyDescent="0.25">
      <c r="A317" s="5">
        <v>316</v>
      </c>
      <c r="B317" s="5" t="str">
        <f>"STATIM-"&amp;C317&amp;"-"&amp;D317&amp;"-"&amp;TEXT(COUNTIFS($C$2:C317,C317,$D$2:D317,D317),"000")</f>
        <v>STATIM-Claims-Motor-063</v>
      </c>
      <c r="C317" s="5" t="s">
        <v>95</v>
      </c>
      <c r="D317" s="5" t="s">
        <v>9</v>
      </c>
      <c r="E317" s="5" t="s">
        <v>497</v>
      </c>
      <c r="F317" s="5" t="s">
        <v>520</v>
      </c>
      <c r="G317" s="7" t="s">
        <v>522</v>
      </c>
      <c r="H317" s="5" t="s">
        <v>25</v>
      </c>
    </row>
    <row r="318" spans="1:8" customFormat="1" x14ac:dyDescent="0.25">
      <c r="A318" s="5">
        <v>317</v>
      </c>
      <c r="B318" s="5" t="str">
        <f>"STATIM-"&amp;C318&amp;"-"&amp;D318&amp;"-"&amp;TEXT(COUNTIFS($C$2:C318,C318,$D$2:D318,D318),"000")</f>
        <v>STATIM-Claims-Motor-064</v>
      </c>
      <c r="C318" s="5" t="s">
        <v>95</v>
      </c>
      <c r="D318" s="5" t="s">
        <v>9</v>
      </c>
      <c r="E318" s="5" t="s">
        <v>95</v>
      </c>
      <c r="F318" s="5" t="s">
        <v>523</v>
      </c>
      <c r="G318" s="7" t="s">
        <v>524</v>
      </c>
      <c r="H318" s="5" t="s">
        <v>268</v>
      </c>
    </row>
    <row r="319" spans="1:8" customFormat="1" x14ac:dyDescent="0.25">
      <c r="A319" s="5">
        <v>318</v>
      </c>
      <c r="B319" s="5" t="str">
        <f>"STATIM-"&amp;C319&amp;"-"&amp;D319&amp;"-"&amp;TEXT(COUNTIFS($C$2:C319,C319,$D$2:D319,D319),"000")</f>
        <v>STATIM-UW-General-030</v>
      </c>
      <c r="C319" s="5" t="s">
        <v>8</v>
      </c>
      <c r="D319" s="5" t="s">
        <v>159</v>
      </c>
      <c r="E319" s="5" t="s">
        <v>497</v>
      </c>
      <c r="F319" s="5" t="s">
        <v>511</v>
      </c>
      <c r="G319" s="7" t="s">
        <v>525</v>
      </c>
      <c r="H319" s="5" t="s">
        <v>64</v>
      </c>
    </row>
    <row r="320" spans="1:8" customFormat="1" x14ac:dyDescent="0.25">
      <c r="A320" s="5">
        <v>319</v>
      </c>
      <c r="B320" s="5" t="str">
        <f>"STATIM-"&amp;C320&amp;"-"&amp;D320&amp;"-"&amp;TEXT(COUNTIFS($C$2:C320,C320,$D$2:D320,D320),"000")</f>
        <v>STATIM-Claims-General-015</v>
      </c>
      <c r="C320" s="5" t="s">
        <v>95</v>
      </c>
      <c r="D320" s="5" t="s">
        <v>159</v>
      </c>
      <c r="E320" s="5" t="s">
        <v>497</v>
      </c>
      <c r="F320" s="5" t="s">
        <v>511</v>
      </c>
      <c r="G320" s="7" t="s">
        <v>526</v>
      </c>
      <c r="H320" s="5" t="s">
        <v>64</v>
      </c>
    </row>
    <row r="321" spans="1:8" customFormat="1" x14ac:dyDescent="0.25">
      <c r="A321" s="5">
        <v>320</v>
      </c>
      <c r="B321" s="5" t="str">
        <f>"STATIM-"&amp;C321&amp;"-"&amp;D321&amp;"-"&amp;TEXT(COUNTIFS($C$2:C321,C321,$D$2:D321,D321),"000")</f>
        <v>STATIM-Claims-General-016</v>
      </c>
      <c r="C321" s="5" t="s">
        <v>95</v>
      </c>
      <c r="D321" s="5" t="s">
        <v>159</v>
      </c>
      <c r="E321" s="5" t="s">
        <v>497</v>
      </c>
      <c r="F321" s="5" t="s">
        <v>511</v>
      </c>
      <c r="G321" s="7" t="s">
        <v>527</v>
      </c>
      <c r="H321" s="5" t="s">
        <v>64</v>
      </c>
    </row>
    <row r="322" spans="1:8" customFormat="1" ht="45" x14ac:dyDescent="0.25">
      <c r="A322" s="5">
        <v>321</v>
      </c>
      <c r="B322" s="5" t="str">
        <f>"STATIM-"&amp;C322&amp;"-"&amp;D322&amp;"-"&amp;TEXT(COUNTIFS($C$2:C322,C322,$D$2:D322,D322),"000")</f>
        <v>STATIM-Claims-General-017</v>
      </c>
      <c r="C322" s="5" t="s">
        <v>95</v>
      </c>
      <c r="D322" s="5" t="s">
        <v>159</v>
      </c>
      <c r="E322" s="5" t="s">
        <v>497</v>
      </c>
      <c r="F322" s="5" t="s">
        <v>523</v>
      </c>
      <c r="G322" s="7" t="s">
        <v>528</v>
      </c>
      <c r="H322" s="5" t="s">
        <v>64</v>
      </c>
    </row>
    <row r="323" spans="1:8" customFormat="1" ht="30" x14ac:dyDescent="0.25">
      <c r="A323" s="5">
        <v>322</v>
      </c>
      <c r="B323" s="5" t="str">
        <f>"STATIM-"&amp;C323&amp;"-"&amp;D323&amp;"-"&amp;TEXT(COUNTIFS($C$2:C323,C323,$D$2:D323,D323),"000")</f>
        <v>STATIM-Claims-General-018</v>
      </c>
      <c r="C323" s="5" t="s">
        <v>95</v>
      </c>
      <c r="D323" s="5" t="s">
        <v>159</v>
      </c>
      <c r="E323" s="5" t="s">
        <v>529</v>
      </c>
      <c r="F323" s="5" t="s">
        <v>530</v>
      </c>
      <c r="G323" s="7" t="s">
        <v>531</v>
      </c>
      <c r="H323" s="5" t="s">
        <v>13</v>
      </c>
    </row>
    <row r="324" spans="1:8" customFormat="1" x14ac:dyDescent="0.25">
      <c r="A324" s="5">
        <v>323</v>
      </c>
      <c r="B324" s="5" t="str">
        <f>"STATIM-"&amp;C324&amp;"-"&amp;D324&amp;"-"&amp;TEXT(COUNTIFS($C$2:C324,C324,$D$2:D324,D324),"000")</f>
        <v>STATIM-Claims-General-019</v>
      </c>
      <c r="C324" s="5" t="s">
        <v>95</v>
      </c>
      <c r="D324" s="5" t="s">
        <v>159</v>
      </c>
      <c r="E324" s="5" t="s">
        <v>497</v>
      </c>
      <c r="F324" s="5" t="s">
        <v>532</v>
      </c>
      <c r="G324" s="7" t="s">
        <v>533</v>
      </c>
      <c r="H324" s="5" t="s">
        <v>64</v>
      </c>
    </row>
    <row r="325" spans="1:8" customFormat="1" ht="30" x14ac:dyDescent="0.25">
      <c r="A325" s="5">
        <v>324</v>
      </c>
      <c r="B325" s="5" t="str">
        <f>"STATIM-"&amp;C325&amp;"-"&amp;D325&amp;"-"&amp;TEXT(COUNTIFS($C$2:C325,C325,$D$2:D325,D325),"000")</f>
        <v>STATIM-Finance-All-030</v>
      </c>
      <c r="C325" s="5" t="s">
        <v>234</v>
      </c>
      <c r="D325" s="5" t="s">
        <v>191</v>
      </c>
      <c r="E325" s="5" t="s">
        <v>234</v>
      </c>
      <c r="F325" s="5" t="s">
        <v>534</v>
      </c>
      <c r="G325" s="7" t="s">
        <v>535</v>
      </c>
      <c r="H325" s="5" t="s">
        <v>20</v>
      </c>
    </row>
    <row r="326" spans="1:8" customFormat="1" ht="30" x14ac:dyDescent="0.25">
      <c r="A326" s="5">
        <v>325</v>
      </c>
      <c r="B326" s="5" t="str">
        <f>"STATIM-"&amp;C326&amp;"-"&amp;D326&amp;"-"&amp;TEXT(COUNTIFS($C$2:C326,C326,$D$2:D326,D326),"000")</f>
        <v>STATIM-Finance-All-031</v>
      </c>
      <c r="C326" s="5" t="s">
        <v>234</v>
      </c>
      <c r="D326" s="5" t="s">
        <v>191</v>
      </c>
      <c r="E326" s="5" t="s">
        <v>234</v>
      </c>
      <c r="F326" s="5" t="s">
        <v>536</v>
      </c>
      <c r="G326" s="7" t="s">
        <v>537</v>
      </c>
      <c r="H326" s="5" t="s">
        <v>20</v>
      </c>
    </row>
    <row r="327" spans="1:8" ht="30" x14ac:dyDescent="0.25">
      <c r="A327" s="5">
        <v>326</v>
      </c>
      <c r="B327" s="5" t="str">
        <f>"STATIM-"&amp;C327&amp;"-"&amp;D327&amp;"-"&amp;TEXT(COUNTIFS($C$2:C327,C327,$D$2:D327,D327),"000")</f>
        <v>STATIM-Finance-All-032</v>
      </c>
      <c r="C327" s="5" t="s">
        <v>234</v>
      </c>
      <c r="D327" s="5" t="s">
        <v>191</v>
      </c>
      <c r="E327" s="5" t="s">
        <v>234</v>
      </c>
      <c r="F327" s="5" t="s">
        <v>536</v>
      </c>
      <c r="G327" s="7" t="s">
        <v>538</v>
      </c>
      <c r="H327" s="5" t="s">
        <v>20</v>
      </c>
    </row>
    <row r="328" spans="1:8" x14ac:dyDescent="0.25">
      <c r="A328" s="5">
        <v>327</v>
      </c>
      <c r="B328" s="5" t="str">
        <f>"STATIM-"&amp;C328&amp;"-"&amp;D328&amp;"-"&amp;TEXT(COUNTIFS($C$2:C328,C328,$D$2:D328,D328),"000")</f>
        <v>STATIM-Finance-All-033</v>
      </c>
      <c r="C328" s="5" t="s">
        <v>234</v>
      </c>
      <c r="D328" s="5" t="s">
        <v>191</v>
      </c>
      <c r="E328" s="5" t="s">
        <v>234</v>
      </c>
      <c r="F328" s="5" t="s">
        <v>539</v>
      </c>
      <c r="G328" s="7" t="s">
        <v>540</v>
      </c>
      <c r="H328" s="5" t="s">
        <v>25</v>
      </c>
    </row>
    <row r="329" spans="1:8" x14ac:dyDescent="0.25">
      <c r="A329" s="5">
        <v>328</v>
      </c>
      <c r="B329" s="5" t="str">
        <f>"STATIM-"&amp;C329&amp;"-"&amp;D329&amp;"-"&amp;TEXT(COUNTIFS($C$2:C329,C329,$D$2:D329,D329),"000")</f>
        <v>STATIM-Finance-All-034</v>
      </c>
      <c r="C329" s="5" t="s">
        <v>234</v>
      </c>
      <c r="D329" s="5" t="s">
        <v>191</v>
      </c>
      <c r="E329" s="5" t="s">
        <v>234</v>
      </c>
      <c r="F329" s="5" t="s">
        <v>539</v>
      </c>
      <c r="G329" s="7" t="s">
        <v>541</v>
      </c>
      <c r="H329" s="5" t="s">
        <v>13</v>
      </c>
    </row>
    <row r="330" spans="1:8" x14ac:dyDescent="0.25">
      <c r="A330" s="5">
        <v>329</v>
      </c>
      <c r="B330" s="5" t="str">
        <f>"STATIM-"&amp;C330&amp;"-"&amp;D330&amp;"-"&amp;TEXT(COUNTIFS($C$2:C330,C330,$D$2:D330,D330),"000")</f>
        <v>STATIM-Finance-All-035</v>
      </c>
      <c r="C330" s="5" t="s">
        <v>234</v>
      </c>
      <c r="D330" s="5" t="s">
        <v>191</v>
      </c>
      <c r="E330" s="5" t="s">
        <v>234</v>
      </c>
      <c r="F330" s="5" t="s">
        <v>542</v>
      </c>
      <c r="G330" s="7" t="s">
        <v>543</v>
      </c>
      <c r="H330" s="5" t="s">
        <v>268</v>
      </c>
    </row>
    <row r="331" spans="1:8" x14ac:dyDescent="0.25">
      <c r="A331" s="5">
        <v>330</v>
      </c>
      <c r="B331" s="5" t="str">
        <f>"STATIM-"&amp;C331&amp;"-"&amp;D331&amp;"-"&amp;TEXT(COUNTIFS($C$2:C331,C331,$D$2:D331,D331),"000")</f>
        <v>STATIM-Finance-All-036</v>
      </c>
      <c r="C331" s="5" t="s">
        <v>234</v>
      </c>
      <c r="D331" s="5" t="s">
        <v>191</v>
      </c>
      <c r="E331" s="5" t="s">
        <v>234</v>
      </c>
      <c r="F331" s="5" t="s">
        <v>544</v>
      </c>
      <c r="G331" s="7" t="s">
        <v>545</v>
      </c>
      <c r="H331" s="5" t="s">
        <v>43</v>
      </c>
    </row>
    <row r="332" spans="1:8" x14ac:dyDescent="0.25">
      <c r="A332" s="5">
        <v>331</v>
      </c>
      <c r="B332" s="5" t="str">
        <f>"STATIM-"&amp;C332&amp;"-"&amp;D332&amp;"-"&amp;TEXT(COUNTIFS($C$2:C332,C332,$D$2:D332,D332),"000")</f>
        <v>STATIM-Finance-All-037</v>
      </c>
      <c r="C332" s="5" t="s">
        <v>234</v>
      </c>
      <c r="D332" s="5" t="s">
        <v>191</v>
      </c>
      <c r="E332" s="5" t="s">
        <v>234</v>
      </c>
      <c r="F332" s="5" t="s">
        <v>546</v>
      </c>
      <c r="G332" s="7" t="s">
        <v>547</v>
      </c>
      <c r="H332" s="5" t="s">
        <v>20</v>
      </c>
    </row>
    <row r="333" spans="1:8" x14ac:dyDescent="0.25">
      <c r="A333" s="5">
        <v>332</v>
      </c>
      <c r="B333" s="5" t="str">
        <f>"STATIM-"&amp;C333&amp;"-"&amp;D333&amp;"-"&amp;TEXT(COUNTIFS($C$2:C333,C333,$D$2:D333,D333),"000")</f>
        <v>STATIM-Finance-All-038</v>
      </c>
      <c r="C333" s="5" t="s">
        <v>234</v>
      </c>
      <c r="D333" s="5" t="s">
        <v>191</v>
      </c>
      <c r="E333" s="5" t="s">
        <v>234</v>
      </c>
      <c r="F333" s="5" t="s">
        <v>548</v>
      </c>
      <c r="G333" s="7" t="s">
        <v>549</v>
      </c>
      <c r="H333" s="5" t="s">
        <v>20</v>
      </c>
    </row>
    <row r="334" spans="1:8" ht="30" x14ac:dyDescent="0.25">
      <c r="A334" s="5">
        <v>333</v>
      </c>
      <c r="B334" s="5" t="str">
        <f>"STATIM-"&amp;C334&amp;"-"&amp;D334&amp;"-"&amp;TEXT(COUNTIFS($C$2:C334,C334,$D$2:D334,D334),"000")</f>
        <v>STATIM-Finance-All-039</v>
      </c>
      <c r="C334" s="5" t="s">
        <v>234</v>
      </c>
      <c r="D334" s="5" t="s">
        <v>191</v>
      </c>
      <c r="E334" s="5" t="s">
        <v>234</v>
      </c>
      <c r="F334" s="5" t="s">
        <v>550</v>
      </c>
      <c r="G334" s="7" t="s">
        <v>551</v>
      </c>
      <c r="H334" s="5" t="s">
        <v>13</v>
      </c>
    </row>
    <row r="335" spans="1:8" x14ac:dyDescent="0.25">
      <c r="A335" s="5">
        <v>334</v>
      </c>
      <c r="B335" s="5" t="str">
        <f>"STATIM-"&amp;C335&amp;"-"&amp;D335&amp;"-"&amp;TEXT(COUNTIFS($C$2:C335,C335,$D$2:D335,D335),"000")</f>
        <v>STATIM-Finance-All-040</v>
      </c>
      <c r="C335" s="5" t="s">
        <v>234</v>
      </c>
      <c r="D335" s="5" t="s">
        <v>191</v>
      </c>
      <c r="E335" s="5" t="s">
        <v>234</v>
      </c>
      <c r="F335" s="5" t="s">
        <v>550</v>
      </c>
      <c r="G335" s="7" t="s">
        <v>552</v>
      </c>
      <c r="H335" s="5" t="s">
        <v>13</v>
      </c>
    </row>
    <row r="336" spans="1:8" ht="30" x14ac:dyDescent="0.25">
      <c r="A336" s="5">
        <v>335</v>
      </c>
      <c r="B336" s="5" t="str">
        <f>"STATIM-"&amp;C336&amp;"-"&amp;D336&amp;"-"&amp;TEXT(COUNTIFS($C$2:C336,C336,$D$2:D336,D336),"000")</f>
        <v>STATIM-Finance-All-041</v>
      </c>
      <c r="C336" s="5" t="s">
        <v>234</v>
      </c>
      <c r="D336" s="5" t="s">
        <v>191</v>
      </c>
      <c r="E336" s="5" t="s">
        <v>234</v>
      </c>
      <c r="F336" s="5" t="s">
        <v>553</v>
      </c>
      <c r="G336" s="7" t="s">
        <v>554</v>
      </c>
      <c r="H336" s="5" t="s">
        <v>13</v>
      </c>
    </row>
    <row r="337" spans="1:8" ht="45" x14ac:dyDescent="0.25">
      <c r="A337" s="5">
        <v>336</v>
      </c>
      <c r="B337" s="5" t="str">
        <f>"STATIM-"&amp;C337&amp;"-"&amp;D337&amp;"-"&amp;TEXT(COUNTIFS($C$2:C337,C337,$D$2:D337,D337),"000")</f>
        <v>STATIM-Finance-All-042</v>
      </c>
      <c r="C337" s="5" t="s">
        <v>234</v>
      </c>
      <c r="D337" s="5" t="s">
        <v>191</v>
      </c>
      <c r="E337" s="5" t="s">
        <v>234</v>
      </c>
      <c r="F337" s="5" t="s">
        <v>553</v>
      </c>
      <c r="G337" s="7" t="s">
        <v>555</v>
      </c>
      <c r="H337" s="5" t="s">
        <v>64</v>
      </c>
    </row>
    <row r="338" spans="1:8" ht="45" x14ac:dyDescent="0.25">
      <c r="A338" s="5">
        <v>337</v>
      </c>
      <c r="B338" s="5" t="str">
        <f>"STATIM-"&amp;C338&amp;"-"&amp;D338&amp;"-"&amp;TEXT(COUNTIFS($C$2:C338,C338,$D$2:D338,D338),"000")</f>
        <v>STATIM-Finance-All-043</v>
      </c>
      <c r="C338" s="5" t="s">
        <v>234</v>
      </c>
      <c r="D338" s="5" t="s">
        <v>191</v>
      </c>
      <c r="E338" s="5" t="s">
        <v>234</v>
      </c>
      <c r="F338" s="5" t="s">
        <v>553</v>
      </c>
      <c r="G338" s="7" t="s">
        <v>556</v>
      </c>
      <c r="H338" s="5" t="s">
        <v>43</v>
      </c>
    </row>
    <row r="339" spans="1:8" ht="30" x14ac:dyDescent="0.25">
      <c r="A339" s="5">
        <v>338</v>
      </c>
      <c r="B339" s="5" t="str">
        <f>"STATIM-"&amp;C339&amp;"-"&amp;D339&amp;"-"&amp;TEXT(COUNTIFS($C$2:C339,C339,$D$2:D339,D339),"000")</f>
        <v>STATIM-Finance-All-044</v>
      </c>
      <c r="C339" s="5" t="s">
        <v>234</v>
      </c>
      <c r="D339" s="5" t="s">
        <v>191</v>
      </c>
      <c r="E339" s="5" t="s">
        <v>234</v>
      </c>
      <c r="F339" s="5" t="s">
        <v>557</v>
      </c>
      <c r="G339" s="7" t="s">
        <v>558</v>
      </c>
      <c r="H339" s="5" t="s">
        <v>64</v>
      </c>
    </row>
    <row r="340" spans="1:8" x14ac:dyDescent="0.25">
      <c r="A340" s="5">
        <v>339</v>
      </c>
      <c r="B340" s="5" t="str">
        <f>"STATIM-"&amp;C340&amp;"-"&amp;D340&amp;"-"&amp;TEXT(COUNTIFS($C$2:C340,C340,$D$2:D340,D340),"000")</f>
        <v>STATIM-Finance-All-045</v>
      </c>
      <c r="C340" s="5" t="s">
        <v>234</v>
      </c>
      <c r="D340" s="5" t="s">
        <v>191</v>
      </c>
      <c r="E340" s="5" t="s">
        <v>234</v>
      </c>
      <c r="F340" s="5" t="s">
        <v>557</v>
      </c>
      <c r="G340" s="7" t="s">
        <v>559</v>
      </c>
      <c r="H340" s="5" t="s">
        <v>64</v>
      </c>
    </row>
    <row r="341" spans="1:8" ht="75" x14ac:dyDescent="0.25">
      <c r="A341" s="5">
        <v>340</v>
      </c>
      <c r="B341" s="5" t="str">
        <f>"STATIM-"&amp;C341&amp;"-"&amp;D341&amp;"-"&amp;TEXT(COUNTIFS($C$2:C341,C341,$D$2:D341,D341),"000")</f>
        <v>STATIM-Finance-All-046</v>
      </c>
      <c r="C341" s="5" t="s">
        <v>234</v>
      </c>
      <c r="D341" s="5" t="s">
        <v>191</v>
      </c>
      <c r="E341" s="5" t="s">
        <v>234</v>
      </c>
      <c r="F341" s="5" t="s">
        <v>557</v>
      </c>
      <c r="G341" s="7" t="s">
        <v>560</v>
      </c>
      <c r="H341" s="5" t="s">
        <v>64</v>
      </c>
    </row>
    <row r="342" spans="1:8" x14ac:dyDescent="0.25">
      <c r="A342" s="5">
        <v>341</v>
      </c>
      <c r="B342" s="5" t="str">
        <f>"STATIM-"&amp;C342&amp;"-"&amp;D342&amp;"-"&amp;TEXT(COUNTIFS($C$2:C342,C342,$D$2:D342,D342),"000")</f>
        <v>STATIM-Finance-All-047</v>
      </c>
      <c r="C342" s="5" t="s">
        <v>234</v>
      </c>
      <c r="D342" s="5" t="s">
        <v>191</v>
      </c>
      <c r="E342" s="5" t="s">
        <v>234</v>
      </c>
      <c r="F342" s="5" t="s">
        <v>561</v>
      </c>
      <c r="G342" s="7" t="s">
        <v>562</v>
      </c>
      <c r="H342" s="5" t="s">
        <v>30</v>
      </c>
    </row>
    <row r="343" spans="1:8" ht="75" x14ac:dyDescent="0.25">
      <c r="A343" s="5">
        <v>342</v>
      </c>
      <c r="B343" s="5" t="str">
        <f>"STATIM-"&amp;C343&amp;"-"&amp;D343&amp;"-"&amp;TEXT(COUNTIFS($C$2:C343,C343,$D$2:D343,D343),"000")</f>
        <v>STATIM-Finance-All-048</v>
      </c>
      <c r="C343" s="5" t="s">
        <v>234</v>
      </c>
      <c r="D343" s="5" t="s">
        <v>191</v>
      </c>
      <c r="E343" s="5" t="s">
        <v>234</v>
      </c>
      <c r="F343" s="5" t="s">
        <v>563</v>
      </c>
      <c r="G343" s="7" t="s">
        <v>564</v>
      </c>
      <c r="H343" s="5" t="s">
        <v>268</v>
      </c>
    </row>
    <row r="344" spans="1:8" ht="30" x14ac:dyDescent="0.25">
      <c r="A344" s="5">
        <v>343</v>
      </c>
      <c r="B344" s="5" t="str">
        <f>"STATIM-"&amp;C344&amp;"-"&amp;D344&amp;"-"&amp;TEXT(COUNTIFS($C$2:C344,C344,$D$2:D344,D344),"000")</f>
        <v>STATIM-Finance-All-049</v>
      </c>
      <c r="C344" s="5" t="s">
        <v>234</v>
      </c>
      <c r="D344" s="5" t="s">
        <v>191</v>
      </c>
      <c r="E344" s="5" t="s">
        <v>234</v>
      </c>
      <c r="F344" s="5" t="s">
        <v>550</v>
      </c>
      <c r="G344" s="7" t="s">
        <v>565</v>
      </c>
      <c r="H344" s="5" t="s">
        <v>268</v>
      </c>
    </row>
    <row r="345" spans="1:8" ht="30" x14ac:dyDescent="0.25">
      <c r="A345" s="5">
        <v>344</v>
      </c>
      <c r="B345" s="5" t="str">
        <f>"STATIM-"&amp;C345&amp;"-"&amp;D345&amp;"-"&amp;TEXT(COUNTIFS($C$2:C345,C345,$D$2:D345,D345),"000")</f>
        <v>STATIM-Finance-All-050</v>
      </c>
      <c r="C345" s="5" t="s">
        <v>234</v>
      </c>
      <c r="D345" s="5" t="s">
        <v>191</v>
      </c>
      <c r="E345" s="5" t="s">
        <v>234</v>
      </c>
      <c r="F345" s="5" t="s">
        <v>566</v>
      </c>
      <c r="G345" s="7" t="s">
        <v>567</v>
      </c>
      <c r="H345" s="5" t="s">
        <v>43</v>
      </c>
    </row>
    <row r="346" spans="1:8" ht="90" x14ac:dyDescent="0.25">
      <c r="A346" s="5">
        <v>345</v>
      </c>
      <c r="B346" s="5" t="str">
        <f>"STATIM-"&amp;C346&amp;"-"&amp;D346&amp;"-"&amp;TEXT(COUNTIFS($C$2:C346,C346,$D$2:D346,D346),"000")</f>
        <v>STATIM-Finance-All-051</v>
      </c>
      <c r="C346" s="5" t="s">
        <v>234</v>
      </c>
      <c r="D346" s="5" t="s">
        <v>191</v>
      </c>
      <c r="E346" s="5" t="s">
        <v>234</v>
      </c>
      <c r="F346" s="5" t="s">
        <v>566</v>
      </c>
      <c r="G346" s="7" t="s">
        <v>568</v>
      </c>
      <c r="H346" s="5" t="s">
        <v>43</v>
      </c>
    </row>
    <row r="347" spans="1:8" ht="30" x14ac:dyDescent="0.25">
      <c r="A347" s="5">
        <v>346</v>
      </c>
      <c r="B347" s="5" t="str">
        <f>"STATIM-"&amp;C347&amp;"-"&amp;D347&amp;"-"&amp;TEXT(COUNTIFS($C$2:C347,C347,$D$2:D347,D347),"000")</f>
        <v>STATIM-Finance-All-052</v>
      </c>
      <c r="C347" s="5" t="s">
        <v>234</v>
      </c>
      <c r="D347" s="5" t="s">
        <v>191</v>
      </c>
      <c r="E347" s="5" t="s">
        <v>234</v>
      </c>
      <c r="F347" s="5" t="s">
        <v>569</v>
      </c>
      <c r="G347" s="7" t="s">
        <v>570</v>
      </c>
      <c r="H347" s="5" t="s">
        <v>43</v>
      </c>
    </row>
    <row r="348" spans="1:8" ht="30" x14ac:dyDescent="0.25">
      <c r="A348" s="5">
        <v>347</v>
      </c>
      <c r="B348" s="5" t="str">
        <f>"STATIM-"&amp;C348&amp;"-"&amp;D348&amp;"-"&amp;TEXT(COUNTIFS($C$2:C348,C348,$D$2:D348,D348),"000")</f>
        <v>STATIM-Finance-All-053</v>
      </c>
      <c r="C348" s="5" t="s">
        <v>234</v>
      </c>
      <c r="D348" s="5" t="s">
        <v>191</v>
      </c>
      <c r="E348" s="5" t="s">
        <v>234</v>
      </c>
      <c r="F348" s="5" t="s">
        <v>571</v>
      </c>
      <c r="G348" s="7" t="s">
        <v>572</v>
      </c>
      <c r="H348" s="5" t="s">
        <v>43</v>
      </c>
    </row>
    <row r="349" spans="1:8" x14ac:dyDescent="0.25">
      <c r="A349" s="5">
        <v>348</v>
      </c>
      <c r="B349" s="5" t="str">
        <f>"STATIM-"&amp;C349&amp;"-"&amp;D349&amp;"-"&amp;TEXT(COUNTIFS($C$2:C349,C349,$D$2:D349,D349),"000")</f>
        <v>STATIM-Finance-All-054</v>
      </c>
      <c r="C349" s="5" t="s">
        <v>234</v>
      </c>
      <c r="D349" s="5" t="s">
        <v>191</v>
      </c>
      <c r="E349" s="5" t="s">
        <v>234</v>
      </c>
      <c r="F349" s="5" t="s">
        <v>573</v>
      </c>
      <c r="G349" s="7" t="s">
        <v>574</v>
      </c>
      <c r="H349" s="5" t="s">
        <v>13</v>
      </c>
    </row>
    <row r="350" spans="1:8" ht="30" x14ac:dyDescent="0.25">
      <c r="A350" s="5">
        <v>349</v>
      </c>
      <c r="B350" s="5" t="str">
        <f>"STATIM-"&amp;C350&amp;"-"&amp;D350&amp;"-"&amp;TEXT(COUNTIFS($C$2:C350,C350,$D$2:D350,D350),"000")</f>
        <v>STATIM-Finance-All-055</v>
      </c>
      <c r="C350" s="5" t="s">
        <v>234</v>
      </c>
      <c r="D350" s="5" t="s">
        <v>191</v>
      </c>
      <c r="E350" s="5" t="s">
        <v>234</v>
      </c>
      <c r="F350" s="5" t="s">
        <v>573</v>
      </c>
      <c r="G350" s="7" t="s">
        <v>575</v>
      </c>
      <c r="H350" s="5" t="s">
        <v>25</v>
      </c>
    </row>
    <row r="351" spans="1:8" ht="30" x14ac:dyDescent="0.25">
      <c r="A351" s="5">
        <v>350</v>
      </c>
      <c r="B351" s="5" t="str">
        <f>"STATIM-"&amp;C351&amp;"-"&amp;D351&amp;"-"&amp;TEXT(COUNTIFS($C$2:C351,C351,$D$2:D351,D351),"000")</f>
        <v>STATIM-Finance-All-056</v>
      </c>
      <c r="C351" s="5" t="s">
        <v>234</v>
      </c>
      <c r="D351" s="5" t="s">
        <v>191</v>
      </c>
      <c r="E351" s="5" t="s">
        <v>234</v>
      </c>
      <c r="F351" s="5" t="s">
        <v>576</v>
      </c>
      <c r="G351" s="7" t="s">
        <v>577</v>
      </c>
      <c r="H351" s="5" t="s">
        <v>13</v>
      </c>
    </row>
    <row r="352" spans="1:8" x14ac:dyDescent="0.25">
      <c r="A352" s="5">
        <v>351</v>
      </c>
      <c r="B352" s="5" t="str">
        <f>"STATIM-"&amp;C352&amp;"-"&amp;D352&amp;"-"&amp;TEXT(COUNTIFS($C$2:C352,C352,$D$2:D352,D352),"000")</f>
        <v>STATIM-Finance-All-057</v>
      </c>
      <c r="C352" s="5" t="s">
        <v>234</v>
      </c>
      <c r="D352" s="5" t="s">
        <v>191</v>
      </c>
      <c r="E352" s="5" t="s">
        <v>234</v>
      </c>
      <c r="F352" s="5" t="s">
        <v>578</v>
      </c>
      <c r="G352" s="7" t="s">
        <v>579</v>
      </c>
      <c r="H352" s="5" t="s">
        <v>43</v>
      </c>
    </row>
    <row r="353" spans="1:8" ht="30" x14ac:dyDescent="0.25">
      <c r="A353" s="5">
        <v>352</v>
      </c>
      <c r="B353" s="5" t="str">
        <f>"STATIM-"&amp;C353&amp;"-"&amp;D353&amp;"-"&amp;TEXT(COUNTIFS($C$2:C353,C353,$D$2:D353,D353),"000")</f>
        <v>STATIM-Finance-All-058</v>
      </c>
      <c r="C353" s="5" t="s">
        <v>234</v>
      </c>
      <c r="D353" s="5" t="s">
        <v>191</v>
      </c>
      <c r="E353" s="5" t="s">
        <v>234</v>
      </c>
      <c r="F353" s="5" t="s">
        <v>580</v>
      </c>
      <c r="G353" s="7" t="s">
        <v>581</v>
      </c>
      <c r="H353" s="5" t="s">
        <v>20</v>
      </c>
    </row>
    <row r="354" spans="1:8" ht="30" x14ac:dyDescent="0.25">
      <c r="A354" s="5">
        <v>353</v>
      </c>
      <c r="B354" s="5" t="str">
        <f>"STATIM-"&amp;C354&amp;"-"&amp;D354&amp;"-"&amp;TEXT(COUNTIFS($C$2:C354,C354,$D$2:D354,D354),"000")</f>
        <v>STATIM-Finance-All-059</v>
      </c>
      <c r="C354" s="5" t="s">
        <v>234</v>
      </c>
      <c r="D354" s="5" t="s">
        <v>191</v>
      </c>
      <c r="E354" s="5" t="s">
        <v>234</v>
      </c>
      <c r="F354" s="5" t="s">
        <v>582</v>
      </c>
      <c r="G354" s="7" t="s">
        <v>583</v>
      </c>
      <c r="H354" s="5" t="s">
        <v>43</v>
      </c>
    </row>
    <row r="355" spans="1:8" x14ac:dyDescent="0.25">
      <c r="A355" s="5">
        <v>354</v>
      </c>
      <c r="B355" s="5" t="str">
        <f>"STATIM-"&amp;C355&amp;"-"&amp;D355&amp;"-"&amp;TEXT(COUNTIFS($C$2:C355,C355,$D$2:D355,D355),"000")</f>
        <v>STATIM-Finance-All-060</v>
      </c>
      <c r="C355" s="5" t="s">
        <v>234</v>
      </c>
      <c r="D355" s="5" t="s">
        <v>191</v>
      </c>
      <c r="E355" s="5" t="s">
        <v>234</v>
      </c>
      <c r="F355" s="5" t="s">
        <v>584</v>
      </c>
      <c r="G355" s="7" t="s">
        <v>585</v>
      </c>
      <c r="H355" s="5" t="s">
        <v>43</v>
      </c>
    </row>
    <row r="356" spans="1:8" ht="30" x14ac:dyDescent="0.25">
      <c r="A356" s="5">
        <v>355</v>
      </c>
      <c r="B356" s="5" t="str">
        <f>"STATIM-"&amp;C356&amp;"-"&amp;D356&amp;"-"&amp;TEXT(COUNTIFS($C$2:C356,C356,$D$2:D356,D356),"000")</f>
        <v>STATIM-Finance-All-061</v>
      </c>
      <c r="C356" s="5" t="s">
        <v>234</v>
      </c>
      <c r="D356" s="5" t="s">
        <v>191</v>
      </c>
      <c r="E356" s="5" t="s">
        <v>234</v>
      </c>
      <c r="F356" s="5" t="s">
        <v>584</v>
      </c>
      <c r="G356" s="7" t="s">
        <v>586</v>
      </c>
      <c r="H356" s="5" t="s">
        <v>43</v>
      </c>
    </row>
    <row r="357" spans="1:8" ht="30" x14ac:dyDescent="0.25">
      <c r="A357" s="5">
        <v>356</v>
      </c>
      <c r="B357" s="5" t="str">
        <f>"STATIM-"&amp;C357&amp;"-"&amp;D357&amp;"-"&amp;TEXT(COUNTIFS($C$2:C357,C357,$D$2:D357,D357),"000")</f>
        <v>STATIM-Finance-All-062</v>
      </c>
      <c r="C357" s="5" t="s">
        <v>234</v>
      </c>
      <c r="D357" s="5" t="s">
        <v>191</v>
      </c>
      <c r="E357" s="5" t="s">
        <v>234</v>
      </c>
      <c r="F357" s="5" t="s">
        <v>587</v>
      </c>
      <c r="G357" s="7" t="s">
        <v>588</v>
      </c>
      <c r="H357" s="5" t="s">
        <v>43</v>
      </c>
    </row>
    <row r="358" spans="1:8" ht="60" x14ac:dyDescent="0.25">
      <c r="A358" s="5">
        <v>357</v>
      </c>
      <c r="B358" s="5" t="str">
        <f>"STATIM-"&amp;C358&amp;"-"&amp;D358&amp;"-"&amp;TEXT(COUNTIFS($C$2:C358,C358,$D$2:D358,D358),"000")</f>
        <v>STATIM-Finance-All-063</v>
      </c>
      <c r="C358" s="5" t="s">
        <v>234</v>
      </c>
      <c r="D358" s="5" t="s">
        <v>191</v>
      </c>
      <c r="E358" s="5" t="s">
        <v>234</v>
      </c>
      <c r="F358" s="5" t="s">
        <v>578</v>
      </c>
      <c r="G358" s="7" t="s">
        <v>589</v>
      </c>
      <c r="H358" s="5" t="s">
        <v>43</v>
      </c>
    </row>
    <row r="359" spans="1:8" x14ac:dyDescent="0.25">
      <c r="A359" s="5">
        <v>358</v>
      </c>
      <c r="B359" s="5" t="str">
        <f>"STATIM-"&amp;C359&amp;"-"&amp;D359&amp;"-"&amp;TEXT(COUNTIFS($C$2:C359,C359,$D$2:D359,D359),"000")</f>
        <v>STATIM-Finance-All-064</v>
      </c>
      <c r="C359" s="5" t="s">
        <v>234</v>
      </c>
      <c r="D359" s="5" t="s">
        <v>191</v>
      </c>
      <c r="E359" s="5" t="s">
        <v>234</v>
      </c>
      <c r="F359" s="5" t="s">
        <v>569</v>
      </c>
      <c r="G359" s="7" t="s">
        <v>590</v>
      </c>
      <c r="H359" s="5" t="s">
        <v>43</v>
      </c>
    </row>
    <row r="360" spans="1:8" x14ac:dyDescent="0.25">
      <c r="A360" s="5">
        <v>359</v>
      </c>
      <c r="B360" s="5" t="str">
        <f>"STATIM-"&amp;C360&amp;"-"&amp;D360&amp;"-"&amp;TEXT(COUNTIFS($C$2:C360,C360,$D$2:D360,D360),"000")</f>
        <v>STATIM-Finance-All-065</v>
      </c>
      <c r="C360" s="5" t="s">
        <v>234</v>
      </c>
      <c r="D360" s="5" t="s">
        <v>191</v>
      </c>
      <c r="E360" s="5" t="s">
        <v>234</v>
      </c>
      <c r="F360" s="5" t="s">
        <v>591</v>
      </c>
      <c r="G360" s="7" t="s">
        <v>592</v>
      </c>
      <c r="H360" s="5" t="s">
        <v>25</v>
      </c>
    </row>
    <row r="361" spans="1:8" ht="30" x14ac:dyDescent="0.25">
      <c r="A361" s="5">
        <v>360</v>
      </c>
      <c r="B361" s="5" t="str">
        <f>"STATIM-"&amp;C361&amp;"-"&amp;D361&amp;"-"&amp;TEXT(COUNTIFS($C$2:C361,C361,$D$2:D361,D361),"000")</f>
        <v>STATIM-Finance-All-066</v>
      </c>
      <c r="C361" s="5" t="s">
        <v>234</v>
      </c>
      <c r="D361" s="5" t="s">
        <v>191</v>
      </c>
      <c r="E361" s="5" t="s">
        <v>234</v>
      </c>
      <c r="F361" s="5" t="s">
        <v>593</v>
      </c>
      <c r="G361" s="7" t="s">
        <v>594</v>
      </c>
      <c r="H361" s="5" t="s">
        <v>43</v>
      </c>
    </row>
    <row r="362" spans="1:8" x14ac:dyDescent="0.25">
      <c r="A362" s="5">
        <v>361</v>
      </c>
      <c r="B362" s="5" t="str">
        <f>"STATIM-"&amp;C362&amp;"-"&amp;D362&amp;"-"&amp;TEXT(COUNTIFS($C$2:C362,C362,$D$2:D362,D362),"000")</f>
        <v>STATIM-Finance-All-067</v>
      </c>
      <c r="C362" s="5" t="s">
        <v>234</v>
      </c>
      <c r="D362" s="5" t="s">
        <v>191</v>
      </c>
      <c r="E362" s="5" t="s">
        <v>234</v>
      </c>
      <c r="F362" s="5" t="s">
        <v>593</v>
      </c>
      <c r="G362" s="7" t="s">
        <v>595</v>
      </c>
      <c r="H362" s="5" t="s">
        <v>43</v>
      </c>
    </row>
    <row r="363" spans="1:8" x14ac:dyDescent="0.25">
      <c r="A363" s="5">
        <v>362</v>
      </c>
      <c r="B363" s="5" t="str">
        <f>"STATIM-"&amp;C363&amp;"-"&amp;D363&amp;"-"&amp;TEXT(COUNTIFS($C$2:C363,C363,$D$2:D363,D363),"000")</f>
        <v>STATIM-Finance-All-068</v>
      </c>
      <c r="C363" s="5" t="s">
        <v>234</v>
      </c>
      <c r="D363" s="5" t="s">
        <v>191</v>
      </c>
      <c r="E363" s="5" t="s">
        <v>234</v>
      </c>
      <c r="F363" s="5" t="s">
        <v>596</v>
      </c>
      <c r="G363" s="7" t="s">
        <v>597</v>
      </c>
      <c r="H363" s="5" t="s">
        <v>13</v>
      </c>
    </row>
    <row r="364" spans="1:8" ht="30" x14ac:dyDescent="0.25">
      <c r="A364" s="5">
        <v>363</v>
      </c>
      <c r="B364" s="5" t="str">
        <f>"STATIM-"&amp;C364&amp;"-"&amp;D364&amp;"-"&amp;TEXT(COUNTIFS($C$2:C364,C364,$D$2:D364,D364),"000")</f>
        <v>STATIM-Finance-All-069</v>
      </c>
      <c r="C364" s="5" t="s">
        <v>234</v>
      </c>
      <c r="D364" s="5" t="s">
        <v>191</v>
      </c>
      <c r="E364" s="5" t="s">
        <v>234</v>
      </c>
      <c r="F364" s="5" t="s">
        <v>596</v>
      </c>
      <c r="G364" s="7" t="s">
        <v>598</v>
      </c>
      <c r="H364" s="5" t="s">
        <v>13</v>
      </c>
    </row>
    <row r="365" spans="1:8" x14ac:dyDescent="0.25">
      <c r="A365" s="5">
        <v>364</v>
      </c>
      <c r="B365" s="5" t="str">
        <f>"STATIM-"&amp;C365&amp;"-"&amp;D365&amp;"-"&amp;TEXT(COUNTIFS($C$2:C365,C365,$D$2:D365,D365),"000")</f>
        <v>STATIM-Finance-All-070</v>
      </c>
      <c r="C365" s="5" t="s">
        <v>234</v>
      </c>
      <c r="D365" s="5" t="s">
        <v>191</v>
      </c>
      <c r="E365" s="5" t="s">
        <v>234</v>
      </c>
      <c r="F365" s="5" t="s">
        <v>596</v>
      </c>
      <c r="G365" s="7" t="s">
        <v>599</v>
      </c>
      <c r="H365" s="5" t="s">
        <v>43</v>
      </c>
    </row>
    <row r="366" spans="1:8" x14ac:dyDescent="0.25">
      <c r="A366" s="5">
        <v>365</v>
      </c>
      <c r="B366" s="5" t="str">
        <f>"STATIM-"&amp;C366&amp;"-"&amp;D366&amp;"-"&amp;TEXT(COUNTIFS($C$2:C366,C366,$D$2:D366,D366),"000")</f>
        <v>STATIM-Finance-All-071</v>
      </c>
      <c r="C366" s="5" t="s">
        <v>234</v>
      </c>
      <c r="D366" s="5" t="s">
        <v>191</v>
      </c>
      <c r="E366" s="5" t="s">
        <v>234</v>
      </c>
      <c r="F366" s="5" t="s">
        <v>600</v>
      </c>
      <c r="G366" s="7" t="s">
        <v>601</v>
      </c>
      <c r="H366" s="5" t="s">
        <v>30</v>
      </c>
    </row>
    <row r="367" spans="1:8" x14ac:dyDescent="0.25">
      <c r="A367" s="5">
        <v>366</v>
      </c>
      <c r="B367" s="5" t="str">
        <f>"STATIM-"&amp;C367&amp;"-"&amp;D367&amp;"-"&amp;TEXT(COUNTIFS($C$2:C367,C367,$D$2:D367,D367),"000")</f>
        <v>STATIM-Finance-All-072</v>
      </c>
      <c r="C367" s="5" t="s">
        <v>234</v>
      </c>
      <c r="D367" s="5" t="s">
        <v>191</v>
      </c>
      <c r="E367" s="5" t="s">
        <v>234</v>
      </c>
      <c r="F367" s="5" t="s">
        <v>600</v>
      </c>
      <c r="G367" s="7" t="s">
        <v>602</v>
      </c>
      <c r="H367" s="5" t="s">
        <v>30</v>
      </c>
    </row>
    <row r="368" spans="1:8" x14ac:dyDescent="0.25">
      <c r="A368" s="5">
        <v>367</v>
      </c>
      <c r="B368" s="5" t="str">
        <f>"STATIM-"&amp;C368&amp;"-"&amp;D368&amp;"-"&amp;TEXT(COUNTIFS($C$2:C368,C368,$D$2:D368,D368),"000")</f>
        <v>STATIM-Finance-All-073</v>
      </c>
      <c r="C368" s="5" t="s">
        <v>234</v>
      </c>
      <c r="D368" s="5" t="s">
        <v>191</v>
      </c>
      <c r="E368" s="5" t="s">
        <v>234</v>
      </c>
      <c r="F368" s="5" t="s">
        <v>600</v>
      </c>
      <c r="G368" s="7" t="s">
        <v>603</v>
      </c>
      <c r="H368" s="5" t="s">
        <v>30</v>
      </c>
    </row>
    <row r="369" spans="1:8" ht="30" x14ac:dyDescent="0.25">
      <c r="A369" s="5">
        <v>368</v>
      </c>
      <c r="B369" s="5" t="str">
        <f>"STATIM-"&amp;C369&amp;"-"&amp;D369&amp;"-"&amp;TEXT(COUNTIFS($C$2:C369,C369,$D$2:D369,D369),"000")</f>
        <v>STATIM-Finance-All-074</v>
      </c>
      <c r="C369" s="5" t="s">
        <v>234</v>
      </c>
      <c r="D369" s="5" t="s">
        <v>191</v>
      </c>
      <c r="E369" s="5" t="s">
        <v>234</v>
      </c>
      <c r="F369" s="5" t="s">
        <v>600</v>
      </c>
      <c r="G369" s="7" t="s">
        <v>604</v>
      </c>
      <c r="H369" s="5" t="s">
        <v>30</v>
      </c>
    </row>
    <row r="370" spans="1:8" x14ac:dyDescent="0.25">
      <c r="A370" s="5">
        <v>369</v>
      </c>
      <c r="B370" s="5" t="str">
        <f>"STATIM-"&amp;C370&amp;"-"&amp;D370&amp;"-"&amp;TEXT(COUNTIFS($C$2:C370,C370,$D$2:D370,D370),"000")</f>
        <v>STATIM-Finance-All-075</v>
      </c>
      <c r="C370" s="5" t="s">
        <v>234</v>
      </c>
      <c r="D370" s="5" t="s">
        <v>191</v>
      </c>
      <c r="E370" s="5" t="s">
        <v>234</v>
      </c>
      <c r="F370" s="5" t="s">
        <v>600</v>
      </c>
      <c r="G370" s="7" t="s">
        <v>605</v>
      </c>
      <c r="H370" s="5" t="s">
        <v>30</v>
      </c>
    </row>
    <row r="371" spans="1:8" ht="45" x14ac:dyDescent="0.25">
      <c r="A371" s="5">
        <v>370</v>
      </c>
      <c r="B371" s="5" t="str">
        <f>"STATIM-"&amp;C371&amp;"-"&amp;D371&amp;"-"&amp;TEXT(COUNTIFS($C$2:C371,C371,$D$2:D371,D371),"000")</f>
        <v>STATIM-Finance-All-076</v>
      </c>
      <c r="C371" s="5" t="s">
        <v>234</v>
      </c>
      <c r="D371" s="5" t="s">
        <v>191</v>
      </c>
      <c r="E371" s="5" t="s">
        <v>234</v>
      </c>
      <c r="F371" s="5" t="s">
        <v>600</v>
      </c>
      <c r="G371" s="7" t="s">
        <v>606</v>
      </c>
      <c r="H371" s="5" t="s">
        <v>30</v>
      </c>
    </row>
    <row r="372" spans="1:8" ht="30" x14ac:dyDescent="0.25">
      <c r="A372" s="5">
        <v>371</v>
      </c>
      <c r="B372" s="5" t="str">
        <f>"STATIM-"&amp;C372&amp;"-"&amp;D372&amp;"-"&amp;TEXT(COUNTIFS($C$2:C372,C372,$D$2:D372,D372),"000")</f>
        <v>STATIM-Finance-All-077</v>
      </c>
      <c r="C372" s="5" t="s">
        <v>234</v>
      </c>
      <c r="D372" s="5" t="s">
        <v>191</v>
      </c>
      <c r="E372" s="5" t="s">
        <v>234</v>
      </c>
      <c r="F372" s="5" t="s">
        <v>600</v>
      </c>
      <c r="G372" s="7" t="s">
        <v>607</v>
      </c>
      <c r="H372" s="5" t="s">
        <v>30</v>
      </c>
    </row>
    <row r="373" spans="1:8" x14ac:dyDescent="0.25">
      <c r="A373" s="5">
        <v>372</v>
      </c>
      <c r="B373" s="5" t="str">
        <f>"STATIM-"&amp;C373&amp;"-"&amp;D373&amp;"-"&amp;TEXT(COUNTIFS($C$2:C373,C373,$D$2:D373,D373),"000")</f>
        <v>STATIM-Finance-All-078</v>
      </c>
      <c r="C373" s="5" t="s">
        <v>234</v>
      </c>
      <c r="D373" s="5" t="s">
        <v>191</v>
      </c>
      <c r="E373" s="5" t="s">
        <v>234</v>
      </c>
      <c r="F373" s="5" t="s">
        <v>608</v>
      </c>
      <c r="G373" s="7" t="s">
        <v>609</v>
      </c>
      <c r="H373" s="5" t="s">
        <v>268</v>
      </c>
    </row>
    <row r="374" spans="1:8" x14ac:dyDescent="0.25">
      <c r="A374" s="5">
        <v>373</v>
      </c>
      <c r="B374" s="5" t="str">
        <f>"STATIM-"&amp;C374&amp;"-"&amp;D374&amp;"-"&amp;TEXT(COUNTIFS($C$2:C374,C374,$D$2:D374,D374),"000")</f>
        <v>STATIM-Finance-All-079</v>
      </c>
      <c r="C374" s="5" t="s">
        <v>234</v>
      </c>
      <c r="D374" s="5" t="s">
        <v>191</v>
      </c>
      <c r="E374" s="5" t="s">
        <v>234</v>
      </c>
      <c r="F374" s="5" t="s">
        <v>610</v>
      </c>
      <c r="G374" s="7" t="s">
        <v>611</v>
      </c>
      <c r="H374" s="5" t="s">
        <v>268</v>
      </c>
    </row>
    <row r="375" spans="1:8" ht="45" x14ac:dyDescent="0.25">
      <c r="A375" s="5">
        <v>374</v>
      </c>
      <c r="B375" s="5" t="str">
        <f>"STATIM-"&amp;C375&amp;"-"&amp;D375&amp;"-"&amp;TEXT(COUNTIFS($C$2:C375,C375,$D$2:D375,D375),"000")</f>
        <v>STATIM-Finance-All-080</v>
      </c>
      <c r="C375" s="5" t="s">
        <v>234</v>
      </c>
      <c r="D375" s="5" t="s">
        <v>191</v>
      </c>
      <c r="E375" s="5" t="s">
        <v>234</v>
      </c>
      <c r="F375" s="5" t="s">
        <v>610</v>
      </c>
      <c r="G375" s="7" t="s">
        <v>612</v>
      </c>
      <c r="H375" s="5" t="s">
        <v>268</v>
      </c>
    </row>
    <row r="376" spans="1:8" x14ac:dyDescent="0.25">
      <c r="A376" s="5">
        <v>375</v>
      </c>
      <c r="B376" s="5" t="str">
        <f>"STATIM-"&amp;C376&amp;"-"&amp;D376&amp;"-"&amp;TEXT(COUNTIFS($C$2:C376,C376,$D$2:D376,D376),"000")</f>
        <v>STATIM-Finance-All-081</v>
      </c>
      <c r="C376" s="5" t="s">
        <v>234</v>
      </c>
      <c r="D376" s="5" t="s">
        <v>191</v>
      </c>
      <c r="E376" s="5" t="s">
        <v>234</v>
      </c>
      <c r="F376" s="5" t="s">
        <v>613</v>
      </c>
      <c r="G376" s="7" t="s">
        <v>614</v>
      </c>
      <c r="H376" s="5" t="s">
        <v>43</v>
      </c>
    </row>
    <row r="377" spans="1:8" x14ac:dyDescent="0.25">
      <c r="A377" s="5">
        <v>376</v>
      </c>
      <c r="B377" s="5" t="str">
        <f>"STATIM-"&amp;C377&amp;"-"&amp;D377&amp;"-"&amp;TEXT(COUNTIFS($C$2:C377,C377,$D$2:D377,D377),"000")</f>
        <v>STATIM-Finance-All-082</v>
      </c>
      <c r="C377" s="5" t="s">
        <v>234</v>
      </c>
      <c r="D377" s="5" t="s">
        <v>191</v>
      </c>
      <c r="E377" s="5" t="s">
        <v>234</v>
      </c>
      <c r="F377" s="5" t="s">
        <v>613</v>
      </c>
      <c r="G377" s="7" t="s">
        <v>615</v>
      </c>
      <c r="H377" s="5" t="s">
        <v>43</v>
      </c>
    </row>
    <row r="378" spans="1:8" x14ac:dyDescent="0.25">
      <c r="A378" s="5">
        <v>377</v>
      </c>
      <c r="B378" s="5" t="str">
        <f>"STATIM-"&amp;C378&amp;"-"&amp;D378&amp;"-"&amp;TEXT(COUNTIFS($C$2:C378,C378,$D$2:D378,D378),"000")</f>
        <v>STATIM-Finance-All-083</v>
      </c>
      <c r="C378" s="5" t="s">
        <v>234</v>
      </c>
      <c r="D378" s="5" t="s">
        <v>191</v>
      </c>
      <c r="E378" s="5" t="s">
        <v>234</v>
      </c>
      <c r="F378" s="5" t="s">
        <v>613</v>
      </c>
      <c r="G378" s="7" t="s">
        <v>616</v>
      </c>
      <c r="H378" s="5" t="s">
        <v>43</v>
      </c>
    </row>
    <row r="379" spans="1:8" x14ac:dyDescent="0.25">
      <c r="A379" s="5">
        <v>378</v>
      </c>
      <c r="B379" s="5" t="str">
        <f>"STATIM-"&amp;C379&amp;"-"&amp;D379&amp;"-"&amp;TEXT(COUNTIFS($C$2:C379,C379,$D$2:D379,D379),"000")</f>
        <v>STATIM-Finance-All-084</v>
      </c>
      <c r="C379" s="5" t="s">
        <v>234</v>
      </c>
      <c r="D379" s="5" t="s">
        <v>191</v>
      </c>
      <c r="E379" s="5" t="s">
        <v>234</v>
      </c>
      <c r="F379" s="5" t="s">
        <v>617</v>
      </c>
      <c r="G379" s="7" t="s">
        <v>618</v>
      </c>
      <c r="H379" s="5" t="s">
        <v>30</v>
      </c>
    </row>
    <row r="380" spans="1:8" ht="30" x14ac:dyDescent="0.25">
      <c r="A380" s="5">
        <v>379</v>
      </c>
      <c r="B380" s="5" t="str">
        <f>"STATIM-"&amp;C380&amp;"-"&amp;D380&amp;"-"&amp;TEXT(COUNTIFS($C$2:C380,C380,$D$2:D380,D380),"000")</f>
        <v>STATIM-Finance-All-085</v>
      </c>
      <c r="C380" s="5" t="s">
        <v>234</v>
      </c>
      <c r="D380" s="5" t="s">
        <v>191</v>
      </c>
      <c r="E380" s="5" t="s">
        <v>234</v>
      </c>
      <c r="F380" s="5" t="s">
        <v>619</v>
      </c>
      <c r="G380" s="7" t="s">
        <v>620</v>
      </c>
      <c r="H380" s="5" t="s">
        <v>13</v>
      </c>
    </row>
    <row r="381" spans="1:8" x14ac:dyDescent="0.25">
      <c r="A381" s="5">
        <v>380</v>
      </c>
      <c r="B381" s="5" t="str">
        <f>"STATIM-"&amp;C381&amp;"-"&amp;D381&amp;"-"&amp;TEXT(COUNTIFS($C$2:C381,C381,$D$2:D381,D381),"000")</f>
        <v>STATIM-Finance-All-086</v>
      </c>
      <c r="C381" s="5" t="s">
        <v>234</v>
      </c>
      <c r="D381" s="5" t="s">
        <v>191</v>
      </c>
      <c r="E381" s="5" t="s">
        <v>234</v>
      </c>
      <c r="F381" s="5" t="s">
        <v>619</v>
      </c>
      <c r="G381" s="7" t="s">
        <v>621</v>
      </c>
      <c r="H381" s="5" t="s">
        <v>43</v>
      </c>
    </row>
    <row r="382" spans="1:8" ht="45" x14ac:dyDescent="0.25">
      <c r="A382" s="5">
        <v>381</v>
      </c>
      <c r="B382" s="5" t="str">
        <f>"STATIM-"&amp;C382&amp;"-"&amp;D382&amp;"-"&amp;TEXT(COUNTIFS($C$2:C382,C382,$D$2:D382,D382),"000")</f>
        <v>STATIM-Finance-All-087</v>
      </c>
      <c r="C382" s="5" t="s">
        <v>234</v>
      </c>
      <c r="D382" s="5" t="s">
        <v>191</v>
      </c>
      <c r="E382" s="5" t="s">
        <v>234</v>
      </c>
      <c r="F382" s="5" t="s">
        <v>619</v>
      </c>
      <c r="G382" s="7" t="s">
        <v>622</v>
      </c>
      <c r="H382" s="5" t="s">
        <v>13</v>
      </c>
    </row>
    <row r="383" spans="1:8" x14ac:dyDescent="0.25">
      <c r="A383" s="5">
        <v>382</v>
      </c>
      <c r="B383" s="5" t="str">
        <f>"STATIM-"&amp;C383&amp;"-"&amp;D383&amp;"-"&amp;TEXT(COUNTIFS($C$2:C383,C383,$D$2:D383,D383),"000")</f>
        <v>STATIM-Finance-All-088</v>
      </c>
      <c r="C383" s="5" t="s">
        <v>234</v>
      </c>
      <c r="D383" s="5" t="s">
        <v>191</v>
      </c>
      <c r="E383" s="5" t="s">
        <v>234</v>
      </c>
      <c r="F383" s="5" t="s">
        <v>619</v>
      </c>
      <c r="G383" s="7" t="s">
        <v>623</v>
      </c>
      <c r="H383" s="5" t="s">
        <v>13</v>
      </c>
    </row>
    <row r="384" spans="1:8" x14ac:dyDescent="0.25">
      <c r="A384" s="5">
        <v>383</v>
      </c>
      <c r="B384" s="5" t="str">
        <f>"STATIM-"&amp;C384&amp;"-"&amp;D384&amp;"-"&amp;TEXT(COUNTIFS($C$2:C384,C384,$D$2:D384,D384),"000")</f>
        <v>STATIM-Finance-All-089</v>
      </c>
      <c r="C384" s="5" t="s">
        <v>234</v>
      </c>
      <c r="D384" s="5" t="s">
        <v>191</v>
      </c>
      <c r="E384" s="5" t="s">
        <v>234</v>
      </c>
      <c r="F384" s="5" t="s">
        <v>624</v>
      </c>
      <c r="G384" s="7" t="s">
        <v>625</v>
      </c>
      <c r="H384" s="5" t="s">
        <v>13</v>
      </c>
    </row>
    <row r="385" spans="1:8" x14ac:dyDescent="0.25">
      <c r="A385" s="5">
        <v>384</v>
      </c>
      <c r="B385" s="5" t="str">
        <f>"STATIM-"&amp;C385&amp;"-"&amp;D385&amp;"-"&amp;TEXT(COUNTIFS($C$2:C385,C385,$D$2:D385,D385),"000")</f>
        <v>STATIM-Finance-All-090</v>
      </c>
      <c r="C385" s="5" t="s">
        <v>234</v>
      </c>
      <c r="D385" s="5" t="s">
        <v>191</v>
      </c>
      <c r="E385" s="5" t="s">
        <v>234</v>
      </c>
      <c r="F385" s="5" t="s">
        <v>626</v>
      </c>
      <c r="G385" s="7" t="s">
        <v>627</v>
      </c>
      <c r="H385" s="5" t="s">
        <v>20</v>
      </c>
    </row>
    <row r="386" spans="1:8" ht="60" x14ac:dyDescent="0.25">
      <c r="A386" s="5">
        <v>385</v>
      </c>
      <c r="B386" s="5" t="str">
        <f>"STATIM-"&amp;C386&amp;"-"&amp;D386&amp;"-"&amp;TEXT(COUNTIFS($C$2:C386,C386,$D$2:D386,D386),"000")</f>
        <v>STATIM-Finance-All-091</v>
      </c>
      <c r="C386" s="5" t="s">
        <v>234</v>
      </c>
      <c r="D386" s="5" t="s">
        <v>191</v>
      </c>
      <c r="E386" s="5" t="s">
        <v>234</v>
      </c>
      <c r="F386" s="5" t="s">
        <v>626</v>
      </c>
      <c r="G386" s="7" t="s">
        <v>628</v>
      </c>
      <c r="H386" s="5" t="s">
        <v>43</v>
      </c>
    </row>
    <row r="387" spans="1:8" x14ac:dyDescent="0.25">
      <c r="A387" s="5">
        <v>386</v>
      </c>
      <c r="B387" s="5" t="str">
        <f>"STATIM-"&amp;C387&amp;"-"&amp;D387&amp;"-"&amp;TEXT(COUNTIFS($C$2:C387,C387,$D$2:D387,D387),"000")</f>
        <v>STATIM-Finance-All-092</v>
      </c>
      <c r="C387" s="5" t="s">
        <v>234</v>
      </c>
      <c r="D387" s="5" t="s">
        <v>191</v>
      </c>
      <c r="E387" s="5" t="s">
        <v>234</v>
      </c>
      <c r="F387" s="5" t="s">
        <v>629</v>
      </c>
      <c r="G387" s="7" t="s">
        <v>630</v>
      </c>
      <c r="H387" s="5" t="s">
        <v>268</v>
      </c>
    </row>
    <row r="388" spans="1:8" x14ac:dyDescent="0.25">
      <c r="A388" s="5">
        <v>387</v>
      </c>
      <c r="B388" s="5" t="str">
        <f>"STATIM-"&amp;C388&amp;"-"&amp;D388&amp;"-"&amp;TEXT(COUNTIFS($C$2:C388,C388,$D$2:D388,D388),"000")</f>
        <v>STATIM-Finance-All-093</v>
      </c>
      <c r="C388" s="5" t="s">
        <v>234</v>
      </c>
      <c r="D388" s="5" t="s">
        <v>191</v>
      </c>
      <c r="E388" s="5" t="s">
        <v>234</v>
      </c>
      <c r="F388" s="5" t="s">
        <v>631</v>
      </c>
      <c r="G388" s="7" t="s">
        <v>630</v>
      </c>
      <c r="H388" s="5" t="s">
        <v>268</v>
      </c>
    </row>
    <row r="389" spans="1:8" ht="30" x14ac:dyDescent="0.25">
      <c r="A389" s="5">
        <v>388</v>
      </c>
      <c r="B389" s="5" t="str">
        <f>"STATIM-"&amp;C389&amp;"-"&amp;D389&amp;"-"&amp;TEXT(COUNTIFS($C$2:C389,C389,$D$2:D389,D389),"000")</f>
        <v>STATIM-Finance-All-094</v>
      </c>
      <c r="C389" s="5" t="s">
        <v>234</v>
      </c>
      <c r="D389" s="5" t="s">
        <v>191</v>
      </c>
      <c r="E389" s="5" t="s">
        <v>234</v>
      </c>
      <c r="F389" s="5" t="s">
        <v>632</v>
      </c>
      <c r="G389" s="7" t="s">
        <v>633</v>
      </c>
      <c r="H389" s="5" t="s">
        <v>20</v>
      </c>
    </row>
    <row r="390" spans="1:8" x14ac:dyDescent="0.25">
      <c r="A390" s="5">
        <v>389</v>
      </c>
      <c r="B390" s="5" t="str">
        <f>"STATIM-"&amp;C390&amp;"-"&amp;D390&amp;"-"&amp;TEXT(COUNTIFS($C$2:C390,C390,$D$2:D390,D390),"000")</f>
        <v>STATIM-Finance-All-095</v>
      </c>
      <c r="C390" s="5" t="s">
        <v>234</v>
      </c>
      <c r="D390" s="5" t="s">
        <v>191</v>
      </c>
      <c r="E390" s="5" t="s">
        <v>234</v>
      </c>
      <c r="F390" s="5" t="s">
        <v>632</v>
      </c>
      <c r="G390" s="7" t="s">
        <v>634</v>
      </c>
      <c r="H390" s="5" t="s">
        <v>268</v>
      </c>
    </row>
    <row r="391" spans="1:8" x14ac:dyDescent="0.25">
      <c r="A391" s="5">
        <v>390</v>
      </c>
      <c r="B391" s="5" t="str">
        <f>"STATIM-"&amp;C391&amp;"-"&amp;D391&amp;"-"&amp;TEXT(COUNTIFS($C$2:C391,C391,$D$2:D391,D391),"000")</f>
        <v>STATIM-Finance-All-096</v>
      </c>
      <c r="C391" s="5" t="s">
        <v>234</v>
      </c>
      <c r="D391" s="5" t="s">
        <v>191</v>
      </c>
      <c r="E391" s="5" t="s">
        <v>234</v>
      </c>
      <c r="F391" s="5" t="s">
        <v>635</v>
      </c>
      <c r="G391" s="7" t="s">
        <v>636</v>
      </c>
      <c r="H391" s="5" t="s">
        <v>20</v>
      </c>
    </row>
    <row r="392" spans="1:8" x14ac:dyDescent="0.25">
      <c r="A392" s="5">
        <v>391</v>
      </c>
      <c r="B392" s="5" t="str">
        <f>"STATIM-"&amp;C392&amp;"-"&amp;D392&amp;"-"&amp;TEXT(COUNTIFS($C$2:C392,C392,$D$2:D392,D392),"000")</f>
        <v>STATIM-Finance-All-097</v>
      </c>
      <c r="C392" s="5" t="s">
        <v>234</v>
      </c>
      <c r="D392" s="5" t="s">
        <v>191</v>
      </c>
      <c r="E392" s="5" t="s">
        <v>234</v>
      </c>
      <c r="F392" s="5" t="s">
        <v>637</v>
      </c>
      <c r="G392" s="7" t="s">
        <v>638</v>
      </c>
      <c r="H392" s="5" t="s">
        <v>13</v>
      </c>
    </row>
    <row r="393" spans="1:8" ht="150" x14ac:dyDescent="0.25">
      <c r="A393" s="5">
        <v>392</v>
      </c>
      <c r="B393" s="5" t="str">
        <f>"STATIM-"&amp;C393&amp;"-"&amp;D393&amp;"-"&amp;TEXT(COUNTIFS($C$2:C393,C393,$D$2:D393,D393),"000")</f>
        <v>STATIM-Claims-General-020</v>
      </c>
      <c r="C393" s="5" t="s">
        <v>95</v>
      </c>
      <c r="D393" s="5" t="s">
        <v>159</v>
      </c>
      <c r="E393" s="5" t="s">
        <v>426</v>
      </c>
      <c r="F393" s="5" t="s">
        <v>639</v>
      </c>
      <c r="G393" s="7" t="s">
        <v>640</v>
      </c>
      <c r="H393" s="5" t="s">
        <v>13</v>
      </c>
    </row>
    <row r="394" spans="1:8" ht="165" x14ac:dyDescent="0.25">
      <c r="A394" s="5">
        <v>393</v>
      </c>
      <c r="B394" s="5" t="str">
        <f>"STATIM-"&amp;C394&amp;"-"&amp;D394&amp;"-"&amp;TEXT(COUNTIFS($C$2:C394,C394,$D$2:D394,D394),"000")</f>
        <v>STATIM-Claims-General-021</v>
      </c>
      <c r="C394" s="5" t="s">
        <v>95</v>
      </c>
      <c r="D394" s="5" t="s">
        <v>159</v>
      </c>
      <c r="E394" s="5" t="s">
        <v>426</v>
      </c>
      <c r="F394" s="5" t="s">
        <v>641</v>
      </c>
      <c r="G394" s="7" t="s">
        <v>642</v>
      </c>
      <c r="H394" s="5" t="s">
        <v>43</v>
      </c>
    </row>
    <row r="395" spans="1:8" customFormat="1" x14ac:dyDescent="0.25">
      <c r="A395" s="5">
        <v>394</v>
      </c>
      <c r="B395" s="5" t="str">
        <f>"STATIM-"&amp;C395&amp;"-"&amp;D395&amp;"-"&amp;TEXT(COUNTIFS($C$2:C395,C395,$D$2:D395,D395),"000")</f>
        <v>STATIM-Claims-General-022</v>
      </c>
      <c r="C395" s="5" t="s">
        <v>95</v>
      </c>
      <c r="D395" s="5" t="s">
        <v>159</v>
      </c>
      <c r="E395" s="5" t="s">
        <v>426</v>
      </c>
      <c r="F395" s="5" t="s">
        <v>643</v>
      </c>
      <c r="G395" s="7" t="s">
        <v>644</v>
      </c>
      <c r="H395" s="5" t="s">
        <v>13</v>
      </c>
    </row>
    <row r="396" spans="1:8" customFormat="1" ht="30" x14ac:dyDescent="0.25">
      <c r="A396" s="5">
        <v>395</v>
      </c>
      <c r="B396" s="5" t="str">
        <f>"STATIM-"&amp;C396&amp;"-"&amp;D396&amp;"-"&amp;TEXT(COUNTIFS($C$2:C396,C396,$D$2:D396,D396),"000")</f>
        <v>STATIM-Claims-General-023</v>
      </c>
      <c r="C396" s="5" t="s">
        <v>95</v>
      </c>
      <c r="D396" s="5" t="s">
        <v>159</v>
      </c>
      <c r="E396" s="5" t="s">
        <v>426</v>
      </c>
      <c r="F396" s="5" t="s">
        <v>645</v>
      </c>
      <c r="G396" s="7" t="s">
        <v>646</v>
      </c>
      <c r="H396" s="5" t="s">
        <v>25</v>
      </c>
    </row>
    <row r="397" spans="1:8" customFormat="1" ht="60" x14ac:dyDescent="0.25">
      <c r="A397" s="5">
        <v>396</v>
      </c>
      <c r="B397" s="5" t="str">
        <f>"STATIM-"&amp;C397&amp;"-"&amp;D397&amp;"-"&amp;TEXT(COUNTIFS($C$2:C397,C397,$D$2:D397,D397),"000")</f>
        <v>STATIM-Claims-General-024</v>
      </c>
      <c r="C397" s="5" t="s">
        <v>95</v>
      </c>
      <c r="D397" s="5" t="s">
        <v>159</v>
      </c>
      <c r="E397" s="5" t="s">
        <v>426</v>
      </c>
      <c r="F397" s="5" t="s">
        <v>647</v>
      </c>
      <c r="G397" s="7" t="s">
        <v>648</v>
      </c>
      <c r="H397" s="5" t="s">
        <v>13</v>
      </c>
    </row>
    <row r="398" spans="1:8" customFormat="1" ht="60" x14ac:dyDescent="0.25">
      <c r="A398" s="5">
        <v>397</v>
      </c>
      <c r="B398" s="5" t="str">
        <f>"STATIM-"&amp;C398&amp;"-"&amp;D398&amp;"-"&amp;TEXT(COUNTIFS($C$2:C398,C398,$D$2:D398,D398),"000")</f>
        <v>STATIM-Claims-General-025</v>
      </c>
      <c r="C398" s="5" t="s">
        <v>95</v>
      </c>
      <c r="D398" s="5" t="s">
        <v>159</v>
      </c>
      <c r="E398" s="5" t="s">
        <v>426</v>
      </c>
      <c r="F398" s="5" t="s">
        <v>649</v>
      </c>
      <c r="G398" s="7" t="s">
        <v>650</v>
      </c>
      <c r="H398" s="5" t="s">
        <v>13</v>
      </c>
    </row>
    <row r="399" spans="1:8" customFormat="1" ht="75" x14ac:dyDescent="0.25">
      <c r="A399" s="5">
        <v>398</v>
      </c>
      <c r="B399" s="5" t="str">
        <f>"STATIM-"&amp;C399&amp;"-"&amp;D399&amp;"-"&amp;TEXT(COUNTIFS($C$2:C399,C399,$D$2:D399,D399),"000")</f>
        <v>STATIM-Claims-General-026</v>
      </c>
      <c r="C399" s="5" t="s">
        <v>95</v>
      </c>
      <c r="D399" s="5" t="s">
        <v>159</v>
      </c>
      <c r="E399" s="5" t="s">
        <v>227</v>
      </c>
      <c r="F399" s="5" t="s">
        <v>227</v>
      </c>
      <c r="G399" s="7" t="s">
        <v>651</v>
      </c>
      <c r="H399" s="5" t="s">
        <v>43</v>
      </c>
    </row>
    <row r="400" spans="1:8" customFormat="1" ht="30" x14ac:dyDescent="0.25">
      <c r="A400" s="5">
        <v>399</v>
      </c>
      <c r="B400" s="5" t="str">
        <f>"STATIM-"&amp;C400&amp;"-"&amp;D400&amp;"-"&amp;TEXT(COUNTIFS($C$2:C400,C400,$D$2:D400,D400),"000")</f>
        <v>STATIM-Claims-General-027</v>
      </c>
      <c r="C400" s="5" t="s">
        <v>95</v>
      </c>
      <c r="D400" s="5" t="s">
        <v>159</v>
      </c>
      <c r="E400" s="5" t="s">
        <v>426</v>
      </c>
      <c r="F400" s="5" t="s">
        <v>652</v>
      </c>
      <c r="G400" s="7" t="s">
        <v>653</v>
      </c>
      <c r="H400" s="5" t="s">
        <v>13</v>
      </c>
    </row>
    <row r="401" spans="1:8" customFormat="1" ht="195" x14ac:dyDescent="0.25">
      <c r="A401" s="5">
        <v>400</v>
      </c>
      <c r="B401" s="5" t="str">
        <f>"STATIM-"&amp;C401&amp;"-"&amp;D401&amp;"-"&amp;TEXT(COUNTIFS($C$2:C401,C401,$D$2:D401,D401),"000")</f>
        <v>STATIM-Claims-General-028</v>
      </c>
      <c r="C401" s="5" t="s">
        <v>95</v>
      </c>
      <c r="D401" s="5" t="s">
        <v>159</v>
      </c>
      <c r="E401" s="5" t="s">
        <v>426</v>
      </c>
      <c r="F401" s="5" t="s">
        <v>654</v>
      </c>
      <c r="G401" s="7" t="s">
        <v>655</v>
      </c>
      <c r="H401" s="5" t="s">
        <v>13</v>
      </c>
    </row>
    <row r="402" spans="1:8" customFormat="1" x14ac:dyDescent="0.25">
      <c r="A402" s="5">
        <v>401</v>
      </c>
      <c r="B402" s="5" t="str">
        <f>"STATIM-"&amp;C402&amp;"-"&amp;D402&amp;"-"&amp;TEXT(COUNTIFS($C$2:C402,C402,$D$2:D402,D402),"000")</f>
        <v>STATIM-Claims-General-029</v>
      </c>
      <c r="C402" s="5" t="s">
        <v>95</v>
      </c>
      <c r="D402" s="5" t="s">
        <v>159</v>
      </c>
      <c r="E402" s="5" t="s">
        <v>426</v>
      </c>
      <c r="F402" s="5" t="s">
        <v>656</v>
      </c>
      <c r="G402" s="7" t="s">
        <v>657</v>
      </c>
      <c r="H402" s="5" t="s">
        <v>13</v>
      </c>
    </row>
    <row r="403" spans="1:8" customFormat="1" ht="30" x14ac:dyDescent="0.25">
      <c r="A403" s="5">
        <v>402</v>
      </c>
      <c r="B403" s="5" t="str">
        <f>"STATIM-"&amp;C403&amp;"-"&amp;D403&amp;"-"&amp;TEXT(COUNTIFS($C$2:C403,C403,$D$2:D403,D403),"000")</f>
        <v>STATIM-Claims-General-030</v>
      </c>
      <c r="C403" s="5" t="s">
        <v>95</v>
      </c>
      <c r="D403" s="5" t="s">
        <v>159</v>
      </c>
      <c r="E403" s="5" t="s">
        <v>426</v>
      </c>
      <c r="F403" s="5" t="s">
        <v>658</v>
      </c>
      <c r="G403" s="7" t="s">
        <v>659</v>
      </c>
      <c r="H403" s="5" t="s">
        <v>25</v>
      </c>
    </row>
    <row r="404" spans="1:8" customFormat="1" ht="90" x14ac:dyDescent="0.25">
      <c r="A404" s="5">
        <v>403</v>
      </c>
      <c r="B404" s="5" t="str">
        <f>"STATIM-"&amp;C404&amp;"-"&amp;D404&amp;"-"&amp;TEXT(COUNTIFS($C$2:C404,C404,$D$2:D404,D404),"000")</f>
        <v>STATIM-UW-General-031</v>
      </c>
      <c r="C404" s="5" t="s">
        <v>8</v>
      </c>
      <c r="D404" s="5" t="s">
        <v>159</v>
      </c>
      <c r="E404" s="5" t="s">
        <v>426</v>
      </c>
      <c r="F404" s="5" t="s">
        <v>430</v>
      </c>
      <c r="G404" s="7" t="s">
        <v>660</v>
      </c>
      <c r="H404" s="5" t="s">
        <v>13</v>
      </c>
    </row>
    <row r="405" spans="1:8" customFormat="1" ht="30" x14ac:dyDescent="0.25">
      <c r="A405" s="5">
        <v>404</v>
      </c>
      <c r="B405" s="5" t="str">
        <f>"STATIM-"&amp;C405&amp;"-"&amp;D405&amp;"-"&amp;TEXT(COUNTIFS($C$2:C405,C405,$D$2:D405,D405),"000")</f>
        <v>STATIM-UW-General-032</v>
      </c>
      <c r="C405" s="5" t="s">
        <v>8</v>
      </c>
      <c r="D405" s="5" t="s">
        <v>159</v>
      </c>
      <c r="E405" s="5" t="s">
        <v>426</v>
      </c>
      <c r="F405" s="5" t="s">
        <v>88</v>
      </c>
      <c r="G405" s="7" t="s">
        <v>661</v>
      </c>
      <c r="H405" s="5" t="s">
        <v>13</v>
      </c>
    </row>
    <row r="406" spans="1:8" customFormat="1" ht="45" x14ac:dyDescent="0.25">
      <c r="A406" s="5">
        <v>405</v>
      </c>
      <c r="B406" s="5" t="str">
        <f>"STATIM-"&amp;C406&amp;"-"&amp;D406&amp;"-"&amp;TEXT(COUNTIFS($C$2:C406,C406,$D$2:D406,D406),"000")</f>
        <v>STATIM-UW-General-033</v>
      </c>
      <c r="C406" s="5" t="s">
        <v>8</v>
      </c>
      <c r="D406" s="5" t="s">
        <v>159</v>
      </c>
      <c r="E406" s="5" t="s">
        <v>426</v>
      </c>
      <c r="F406" s="5" t="s">
        <v>88</v>
      </c>
      <c r="G406" s="7" t="s">
        <v>662</v>
      </c>
      <c r="H406" s="5" t="s">
        <v>13</v>
      </c>
    </row>
    <row r="407" spans="1:8" customFormat="1" x14ac:dyDescent="0.25">
      <c r="A407" s="5">
        <v>406</v>
      </c>
      <c r="B407" s="5" t="str">
        <f>"STATIM-"&amp;C407&amp;"-"&amp;D407&amp;"-"&amp;TEXT(COUNTIFS($C$2:C407,C407,$D$2:D407,D407),"000")</f>
        <v>STATIM-UW-General-034</v>
      </c>
      <c r="C407" s="5" t="s">
        <v>8</v>
      </c>
      <c r="D407" s="5" t="s">
        <v>159</v>
      </c>
      <c r="E407" s="5" t="s">
        <v>426</v>
      </c>
      <c r="F407" s="5" t="s">
        <v>663</v>
      </c>
      <c r="G407" s="7" t="s">
        <v>664</v>
      </c>
      <c r="H407" s="5" t="s">
        <v>13</v>
      </c>
    </row>
    <row r="408" spans="1:8" customFormat="1" ht="45" x14ac:dyDescent="0.25">
      <c r="A408" s="5">
        <v>407</v>
      </c>
      <c r="B408" s="5" t="str">
        <f>"STATIM-"&amp;C408&amp;"-"&amp;D408&amp;"-"&amp;TEXT(COUNTIFS($C$2:C408,C408,$D$2:D408,D408),"000")</f>
        <v>STATIM-UW-General-035</v>
      </c>
      <c r="C408" s="5" t="s">
        <v>8</v>
      </c>
      <c r="D408" s="5" t="s">
        <v>159</v>
      </c>
      <c r="E408" s="5" t="s">
        <v>426</v>
      </c>
      <c r="F408" s="5" t="s">
        <v>88</v>
      </c>
      <c r="G408" s="7" t="s">
        <v>665</v>
      </c>
      <c r="H408" s="5" t="s">
        <v>13</v>
      </c>
    </row>
    <row r="409" spans="1:8" customFormat="1" ht="30" x14ac:dyDescent="0.25">
      <c r="A409" s="5">
        <v>408</v>
      </c>
      <c r="B409" s="5" t="str">
        <f>"STATIM-"&amp;C409&amp;"-"&amp;D409&amp;"-"&amp;TEXT(COUNTIFS($C$2:C409,C409,$D$2:D409,D409),"000")</f>
        <v>STATIM-UW-General-036</v>
      </c>
      <c r="C409" s="5" t="s">
        <v>8</v>
      </c>
      <c r="D409" s="5" t="s">
        <v>159</v>
      </c>
      <c r="E409" s="5" t="s">
        <v>426</v>
      </c>
      <c r="F409" s="5" t="s">
        <v>666</v>
      </c>
      <c r="G409" s="7" t="s">
        <v>667</v>
      </c>
      <c r="H409" s="5" t="s">
        <v>13</v>
      </c>
    </row>
    <row r="410" spans="1:8" customFormat="1" ht="30" x14ac:dyDescent="0.25">
      <c r="A410" s="5">
        <v>409</v>
      </c>
      <c r="B410" s="5" t="str">
        <f>"STATIM-"&amp;C410&amp;"-"&amp;D410&amp;"-"&amp;TEXT(COUNTIFS($C$2:C410,C410,$D$2:D410,D410),"000")</f>
        <v>STATIM-UW-General-037</v>
      </c>
      <c r="C410" s="5" t="s">
        <v>8</v>
      </c>
      <c r="D410" s="5" t="s">
        <v>159</v>
      </c>
      <c r="E410" s="5" t="s">
        <v>426</v>
      </c>
      <c r="F410" s="5" t="s">
        <v>450</v>
      </c>
      <c r="G410" s="22" t="s">
        <v>668</v>
      </c>
      <c r="H410" s="5" t="s">
        <v>13</v>
      </c>
    </row>
    <row r="411" spans="1:8" customFormat="1" x14ac:dyDescent="0.25">
      <c r="A411" s="5">
        <v>410</v>
      </c>
      <c r="B411" s="5" t="str">
        <f>"STATIM-"&amp;C411&amp;"-"&amp;D411&amp;"-"&amp;TEXT(COUNTIFS($C$2:C411,C411,$D$2:D411,D411),"000")</f>
        <v>STATIM-UW-General-038</v>
      </c>
      <c r="C411" s="5" t="s">
        <v>8</v>
      </c>
      <c r="D411" s="5" t="s">
        <v>159</v>
      </c>
      <c r="E411" s="5" t="s">
        <v>426</v>
      </c>
      <c r="F411" s="5" t="s">
        <v>669</v>
      </c>
      <c r="G411" s="22" t="s">
        <v>670</v>
      </c>
      <c r="H411" s="5" t="s">
        <v>13</v>
      </c>
    </row>
    <row r="412" spans="1:8" customFormat="1" ht="60" x14ac:dyDescent="0.25">
      <c r="A412" s="5">
        <v>411</v>
      </c>
      <c r="B412" s="5" t="str">
        <f>"STATIM-"&amp;C412&amp;"-"&amp;D412&amp;"-"&amp;TEXT(COUNTIFS($C$2:C412,C412,$D$2:D412,D412),"000")</f>
        <v>STATIM-UW-General-039</v>
      </c>
      <c r="C412" s="5" t="s">
        <v>8</v>
      </c>
      <c r="D412" s="5" t="s">
        <v>159</v>
      </c>
      <c r="E412" s="5" t="s">
        <v>426</v>
      </c>
      <c r="F412" s="5" t="s">
        <v>671</v>
      </c>
      <c r="G412" s="22" t="s">
        <v>672</v>
      </c>
      <c r="H412" s="5" t="s">
        <v>13</v>
      </c>
    </row>
    <row r="413" spans="1:8" customFormat="1" ht="75" x14ac:dyDescent="0.25">
      <c r="A413" s="5">
        <v>412</v>
      </c>
      <c r="B413" s="5" t="str">
        <f>"STATIM-"&amp;C413&amp;"-"&amp;D413&amp;"-"&amp;TEXT(COUNTIFS($C$2:C413,C413,$D$2:D413,D413),"000")</f>
        <v>STATIM-UW-Motor-092</v>
      </c>
      <c r="C413" s="5" t="s">
        <v>8</v>
      </c>
      <c r="D413" s="12" t="s">
        <v>9</v>
      </c>
      <c r="E413" s="12" t="s">
        <v>227</v>
      </c>
      <c r="F413" s="5" t="s">
        <v>227</v>
      </c>
      <c r="G413" s="22" t="s">
        <v>673</v>
      </c>
      <c r="H413" s="21" t="s">
        <v>43</v>
      </c>
    </row>
    <row r="414" spans="1:8" customFormat="1" x14ac:dyDescent="0.25">
      <c r="A414" s="5">
        <v>413</v>
      </c>
      <c r="B414" s="5" t="str">
        <f>"STATIM-"&amp;C414&amp;"-"&amp;D414&amp;"-"&amp;TEXT(COUNTIFS($C$2:C414,C414,$D$2:D414,D414),"000")</f>
        <v>STATIM-UW-Motor-093</v>
      </c>
      <c r="C414" s="5" t="s">
        <v>8</v>
      </c>
      <c r="D414" s="12" t="s">
        <v>9</v>
      </c>
      <c r="E414" s="12" t="s">
        <v>227</v>
      </c>
      <c r="F414" s="5" t="s">
        <v>227</v>
      </c>
      <c r="G414" s="22" t="s">
        <v>674</v>
      </c>
      <c r="H414" s="21" t="s">
        <v>30</v>
      </c>
    </row>
    <row r="415" spans="1:8" customFormat="1" x14ac:dyDescent="0.25">
      <c r="A415" s="5">
        <v>414</v>
      </c>
      <c r="B415" s="5" t="str">
        <f>"STATIM-"&amp;C415&amp;"-"&amp;D415&amp;"-"&amp;TEXT(COUNTIFS($C$2:C415,C415,$D$2:D415,D415),"000")</f>
        <v>STATIM-UW-Motor-094</v>
      </c>
      <c r="C415" s="5" t="s">
        <v>8</v>
      </c>
      <c r="D415" s="12" t="s">
        <v>9</v>
      </c>
      <c r="E415" s="12" t="s">
        <v>227</v>
      </c>
      <c r="F415" s="5" t="s">
        <v>227</v>
      </c>
      <c r="G415" s="22" t="s">
        <v>675</v>
      </c>
      <c r="H415" s="21" t="s">
        <v>43</v>
      </c>
    </row>
    <row r="416" spans="1:8" customFormat="1" ht="30" x14ac:dyDescent="0.25">
      <c r="A416" s="5">
        <v>415</v>
      </c>
      <c r="B416" s="5" t="str">
        <f>"STATIM-"&amp;C416&amp;"-"&amp;D416&amp;"-"&amp;TEXT(COUNTIFS($C$2:C416,C416,$D$2:D416,D416),"000")</f>
        <v>STATIM-UW-Motor-095</v>
      </c>
      <c r="C416" s="5" t="s">
        <v>8</v>
      </c>
      <c r="D416" s="12" t="s">
        <v>9</v>
      </c>
      <c r="E416" s="12" t="s">
        <v>227</v>
      </c>
      <c r="F416" s="5" t="s">
        <v>227</v>
      </c>
      <c r="G416" s="22" t="s">
        <v>676</v>
      </c>
      <c r="H416" s="21" t="s">
        <v>43</v>
      </c>
    </row>
    <row r="417" spans="1:8" customFormat="1" x14ac:dyDescent="0.25">
      <c r="A417" s="5">
        <v>416</v>
      </c>
      <c r="B417" s="5" t="str">
        <f>"STATIM-"&amp;C417&amp;"-"&amp;D417&amp;"-"&amp;TEXT(COUNTIFS($C$2:C417,C417,$D$2:D417,D417),"000")</f>
        <v>STATIM-UW-Motor-096</v>
      </c>
      <c r="C417" s="5" t="s">
        <v>8</v>
      </c>
      <c r="D417" s="12" t="s">
        <v>9</v>
      </c>
      <c r="E417" s="12" t="s">
        <v>227</v>
      </c>
      <c r="F417" s="5" t="s">
        <v>227</v>
      </c>
      <c r="G417" s="22" t="s">
        <v>677</v>
      </c>
      <c r="H417" s="21" t="s">
        <v>43</v>
      </c>
    </row>
    <row r="418" spans="1:8" customFormat="1" x14ac:dyDescent="0.25">
      <c r="A418" s="5">
        <v>417</v>
      </c>
      <c r="B418" s="5" t="str">
        <f>"STATIM-"&amp;C418&amp;"-"&amp;D418&amp;"-"&amp;TEXT(COUNTIFS($C$2:C418,C418,$D$2:D418,D418),"000")</f>
        <v>STATIM-UW-Motor-097</v>
      </c>
      <c r="C418" s="5" t="s">
        <v>8</v>
      </c>
      <c r="D418" s="12" t="s">
        <v>9</v>
      </c>
      <c r="E418" s="12" t="s">
        <v>227</v>
      </c>
      <c r="F418" s="5" t="s">
        <v>227</v>
      </c>
      <c r="G418" s="22" t="s">
        <v>678</v>
      </c>
      <c r="H418" s="21" t="s">
        <v>43</v>
      </c>
    </row>
    <row r="419" spans="1:8" customFormat="1" x14ac:dyDescent="0.25">
      <c r="A419" s="5">
        <v>418</v>
      </c>
      <c r="B419" s="5" t="str">
        <f>"STATIM-"&amp;C419&amp;"-"&amp;D419&amp;"-"&amp;TEXT(COUNTIFS($C$2:C419,C419,$D$2:D419,D419),"000")</f>
        <v>STATIM-UW-Motor-098</v>
      </c>
      <c r="C419" s="5" t="s">
        <v>8</v>
      </c>
      <c r="D419" s="12" t="s">
        <v>9</v>
      </c>
      <c r="E419" s="12" t="s">
        <v>227</v>
      </c>
      <c r="F419" s="12" t="s">
        <v>227</v>
      </c>
      <c r="G419" s="22" t="s">
        <v>679</v>
      </c>
      <c r="H419" s="21" t="s">
        <v>43</v>
      </c>
    </row>
    <row r="420" spans="1:8" customFormat="1" ht="30" x14ac:dyDescent="0.25">
      <c r="A420" s="5">
        <v>419</v>
      </c>
      <c r="B420" s="5" t="str">
        <f>"STATIM-"&amp;C420&amp;"-"&amp;D420&amp;"-"&amp;TEXT(COUNTIFS($C$2:C420,C420,$D$2:D420,D420),"000")</f>
        <v>STATIM-UW-Motor-099</v>
      </c>
      <c r="C420" s="5" t="s">
        <v>8</v>
      </c>
      <c r="D420" s="12" t="s">
        <v>9</v>
      </c>
      <c r="E420" s="12" t="s">
        <v>227</v>
      </c>
      <c r="F420" s="12" t="s">
        <v>227</v>
      </c>
      <c r="G420" s="22" t="s">
        <v>680</v>
      </c>
      <c r="H420" s="21" t="s">
        <v>43</v>
      </c>
    </row>
    <row r="421" spans="1:8" customFormat="1" x14ac:dyDescent="0.25">
      <c r="A421" s="5">
        <v>420</v>
      </c>
      <c r="B421" s="5" t="str">
        <f>"STATIM-"&amp;C421&amp;"-"&amp;D421&amp;"-"&amp;TEXT(COUNTIFS($C$2:C421,C421,$D$2:D421,D421),"000")</f>
        <v>STATIM-UW-Motor-100</v>
      </c>
      <c r="C421" s="5" t="s">
        <v>8</v>
      </c>
      <c r="D421" s="12" t="s">
        <v>9</v>
      </c>
      <c r="E421" s="12" t="s">
        <v>426</v>
      </c>
      <c r="F421" s="12" t="s">
        <v>671</v>
      </c>
      <c r="G421" s="22" t="s">
        <v>681</v>
      </c>
      <c r="H421" s="21" t="s">
        <v>13</v>
      </c>
    </row>
    <row r="422" spans="1:8" customFormat="1" x14ac:dyDescent="0.25">
      <c r="A422" s="5">
        <v>421</v>
      </c>
      <c r="B422" s="5" t="str">
        <f>"STATIM-"&amp;C422&amp;"-"&amp;D422&amp;"-"&amp;TEXT(COUNTIFS($C$2:C422,C422,$D$2:D422,D422),"000")</f>
        <v>STATIM-UW-Motor-101</v>
      </c>
      <c r="C422" s="5" t="s">
        <v>8</v>
      </c>
      <c r="D422" s="12" t="s">
        <v>9</v>
      </c>
      <c r="E422" s="12" t="s">
        <v>426</v>
      </c>
      <c r="F422" s="12" t="s">
        <v>671</v>
      </c>
      <c r="G422" s="22" t="s">
        <v>682</v>
      </c>
      <c r="H422" s="21" t="s">
        <v>13</v>
      </c>
    </row>
    <row r="423" spans="1:8" customFormat="1" x14ac:dyDescent="0.25">
      <c r="A423" s="5">
        <v>422</v>
      </c>
      <c r="B423" s="5" t="str">
        <f>"STATIM-"&amp;C423&amp;"-"&amp;D423&amp;"-"&amp;TEXT(COUNTIFS($C$2:C423,C423,$D$2:D423,D423),"000")</f>
        <v>STATIM-UW-Motor-102</v>
      </c>
      <c r="C423" s="5" t="s">
        <v>8</v>
      </c>
      <c r="D423" s="12" t="s">
        <v>9</v>
      </c>
      <c r="E423" s="12" t="s">
        <v>426</v>
      </c>
      <c r="F423" s="12" t="s">
        <v>671</v>
      </c>
      <c r="G423" s="22" t="s">
        <v>683</v>
      </c>
      <c r="H423" s="21" t="s">
        <v>13</v>
      </c>
    </row>
    <row r="424" spans="1:8" customFormat="1" x14ac:dyDescent="0.25">
      <c r="A424" s="5">
        <v>423</v>
      </c>
      <c r="B424" s="5" t="str">
        <f>"STATIM-"&amp;C424&amp;"-"&amp;D424&amp;"-"&amp;TEXT(COUNTIFS($C$2:C424,C424,$D$2:D424,D424),"000")</f>
        <v>STATIM-UW-Motor-103</v>
      </c>
      <c r="C424" s="5" t="s">
        <v>8</v>
      </c>
      <c r="D424" s="12" t="s">
        <v>9</v>
      </c>
      <c r="E424" s="12" t="s">
        <v>426</v>
      </c>
      <c r="F424" s="12" t="s">
        <v>671</v>
      </c>
      <c r="G424" s="22" t="s">
        <v>684</v>
      </c>
      <c r="H424" s="21" t="s">
        <v>13</v>
      </c>
    </row>
    <row r="425" spans="1:8" customFormat="1" x14ac:dyDescent="0.25">
      <c r="A425" s="5">
        <v>424</v>
      </c>
      <c r="B425" s="5" t="str">
        <f>"STATIM-"&amp;C425&amp;"-"&amp;D425&amp;"-"&amp;TEXT(COUNTIFS($C$2:C425,C425,$D$2:D425,D425),"000")</f>
        <v>STATIM-UW-Motor-104</v>
      </c>
      <c r="C425" s="5" t="s">
        <v>8</v>
      </c>
      <c r="D425" s="12" t="s">
        <v>9</v>
      </c>
      <c r="E425" s="12" t="s">
        <v>426</v>
      </c>
      <c r="F425" s="12" t="s">
        <v>671</v>
      </c>
      <c r="G425" s="22" t="s">
        <v>685</v>
      </c>
      <c r="H425" s="21" t="s">
        <v>13</v>
      </c>
    </row>
    <row r="426" spans="1:8" customFormat="1" ht="30" x14ac:dyDescent="0.25">
      <c r="A426" s="5">
        <v>425</v>
      </c>
      <c r="B426" s="5" t="str">
        <f>"STATIM-"&amp;C426&amp;"-"&amp;D426&amp;"-"&amp;TEXT(COUNTIFS($C$2:C426,C426,$D$2:D426,D426),"000")</f>
        <v>STATIM-UW-All-008</v>
      </c>
      <c r="C426" s="5" t="s">
        <v>8</v>
      </c>
      <c r="D426" s="12" t="s">
        <v>191</v>
      </c>
      <c r="E426" s="12" t="s">
        <v>426</v>
      </c>
      <c r="F426" s="12" t="s">
        <v>686</v>
      </c>
      <c r="G426" s="22" t="s">
        <v>687</v>
      </c>
      <c r="H426" s="21" t="s">
        <v>13</v>
      </c>
    </row>
    <row r="427" spans="1:8" customFormat="1" x14ac:dyDescent="0.25">
      <c r="A427" s="5">
        <v>426</v>
      </c>
      <c r="B427" s="5" t="str">
        <f>"STATIM-"&amp;C427&amp;"-"&amp;D427&amp;"-"&amp;TEXT(COUNTIFS($C$2:C427,C427,$D$2:D427,D427),"000")</f>
        <v>STATIM-UW-All-009</v>
      </c>
      <c r="C427" s="5" t="s">
        <v>8</v>
      </c>
      <c r="D427" s="12" t="s">
        <v>191</v>
      </c>
      <c r="E427" s="12" t="s">
        <v>426</v>
      </c>
      <c r="F427" s="12" t="s">
        <v>686</v>
      </c>
      <c r="G427" s="22" t="s">
        <v>688</v>
      </c>
      <c r="H427" s="21" t="s">
        <v>13</v>
      </c>
    </row>
    <row r="428" spans="1:8" customFormat="1" x14ac:dyDescent="0.25">
      <c r="A428" s="5">
        <v>427</v>
      </c>
      <c r="B428" s="5" t="str">
        <f>"STATIM-"&amp;C428&amp;"-"&amp;D428&amp;"-"&amp;TEXT(COUNTIFS($C$2:C428,C428,$D$2:D428,D428),"000")</f>
        <v>STATIM-UW-All-010</v>
      </c>
      <c r="C428" s="5" t="s">
        <v>8</v>
      </c>
      <c r="D428" s="12" t="s">
        <v>191</v>
      </c>
      <c r="E428" s="12" t="s">
        <v>426</v>
      </c>
      <c r="F428" s="12" t="s">
        <v>686</v>
      </c>
      <c r="G428" s="22" t="s">
        <v>689</v>
      </c>
      <c r="H428" s="21" t="s">
        <v>13</v>
      </c>
    </row>
    <row r="429" spans="1:8" customFormat="1" ht="45" x14ac:dyDescent="0.25">
      <c r="A429" s="5">
        <v>428</v>
      </c>
      <c r="B429" s="5" t="str">
        <f>"STATIM-"&amp;C429&amp;"-"&amp;D429&amp;"-"&amp;TEXT(COUNTIFS($C$2:C429,C429,$D$2:D429,D429),"000")</f>
        <v>STATIM-UW-General-040</v>
      </c>
      <c r="C429" s="5" t="s">
        <v>8</v>
      </c>
      <c r="D429" s="5" t="s">
        <v>159</v>
      </c>
      <c r="E429" s="5" t="s">
        <v>17</v>
      </c>
      <c r="F429" s="5" t="s">
        <v>62</v>
      </c>
      <c r="G429" s="7" t="s">
        <v>690</v>
      </c>
      <c r="H429" s="5" t="s">
        <v>30</v>
      </c>
    </row>
    <row r="430" spans="1:8" customFormat="1" ht="45" x14ac:dyDescent="0.25">
      <c r="A430" s="5">
        <v>429</v>
      </c>
      <c r="B430" s="5" t="str">
        <f>"STATIM-"&amp;C430&amp;"-"&amp;D430&amp;"-"&amp;TEXT(COUNTIFS($C$2:C430,C430,$D$2:D430,D430),"000")</f>
        <v>STATIM-UW-Health-041</v>
      </c>
      <c r="C430" s="5" t="s">
        <v>8</v>
      </c>
      <c r="D430" s="5" t="s">
        <v>288</v>
      </c>
      <c r="E430" s="5" t="s">
        <v>17</v>
      </c>
      <c r="F430" s="5" t="s">
        <v>62</v>
      </c>
      <c r="G430" s="7" t="s">
        <v>690</v>
      </c>
      <c r="H430" s="5" t="s">
        <v>30</v>
      </c>
    </row>
    <row r="431" spans="1:8" ht="60" x14ac:dyDescent="0.25">
      <c r="A431" s="5">
        <v>430</v>
      </c>
      <c r="B431" s="5" t="str">
        <f>"STATIM-"&amp;C431&amp;"-"&amp;D431&amp;"-"&amp;TEXT(COUNTIFS($C$2:C431,C431,$D$2:D431,D431),"000")</f>
        <v>STATIM-UW-All-011</v>
      </c>
      <c r="C431" s="5" t="s">
        <v>8</v>
      </c>
      <c r="D431" s="5" t="s">
        <v>191</v>
      </c>
      <c r="E431" s="5" t="s">
        <v>691</v>
      </c>
      <c r="F431" s="5" t="s">
        <v>692</v>
      </c>
      <c r="G431" s="7" t="s">
        <v>693</v>
      </c>
      <c r="H431" s="5" t="s">
        <v>43</v>
      </c>
    </row>
    <row r="432" spans="1:8" x14ac:dyDescent="0.25">
      <c r="A432" s="5">
        <v>431</v>
      </c>
      <c r="B432" s="5" t="str">
        <f>"STATIM-"&amp;C432&amp;"-"&amp;D432&amp;"-"&amp;TEXT(COUNTIFS($C$2:C432,C432,$D$2:D432,D432),"000")</f>
        <v>STATIM-All-All-001</v>
      </c>
      <c r="C432" s="5" t="s">
        <v>191</v>
      </c>
      <c r="D432" s="5" t="s">
        <v>191</v>
      </c>
      <c r="E432" s="5" t="s">
        <v>191</v>
      </c>
      <c r="F432" s="5" t="s">
        <v>694</v>
      </c>
      <c r="G432" s="7" t="s">
        <v>694</v>
      </c>
      <c r="H432" s="5" t="s">
        <v>43</v>
      </c>
    </row>
    <row r="433" spans="1:8" x14ac:dyDescent="0.25">
      <c r="A433" s="5">
        <v>432</v>
      </c>
      <c r="B433" s="5" t="str">
        <f>"STATIM-"&amp;C433&amp;"-"&amp;D433&amp;"-"&amp;TEXT(COUNTIFS($C$2:C433,C433,$D$2:D433,D433),"000")</f>
        <v>STATIM-UW-All-012</v>
      </c>
      <c r="C433" s="5" t="s">
        <v>8</v>
      </c>
      <c r="D433" s="5" t="s">
        <v>191</v>
      </c>
      <c r="E433" s="5" t="s">
        <v>17</v>
      </c>
      <c r="F433" s="5" t="s">
        <v>93</v>
      </c>
      <c r="G433" s="7" t="s">
        <v>695</v>
      </c>
      <c r="H433" s="5" t="s">
        <v>43</v>
      </c>
    </row>
    <row r="434" spans="1:8" x14ac:dyDescent="0.25">
      <c r="A434" s="5">
        <v>433</v>
      </c>
      <c r="B434" s="5" t="str">
        <f>"STATIM-"&amp;C434&amp;"-"&amp;D434&amp;"-"&amp;TEXT(COUNTIFS($C$2:C434,C434,$D$2:D434,D434),"000")</f>
        <v>STATIM-Claims-All-003</v>
      </c>
      <c r="C434" s="5" t="s">
        <v>95</v>
      </c>
      <c r="D434" s="5" t="s">
        <v>191</v>
      </c>
      <c r="E434" s="5" t="s">
        <v>95</v>
      </c>
      <c r="F434" s="5" t="s">
        <v>93</v>
      </c>
      <c r="G434" s="7" t="s">
        <v>696</v>
      </c>
      <c r="H434" s="5" t="s">
        <v>43</v>
      </c>
    </row>
    <row r="435" spans="1:8" x14ac:dyDescent="0.25">
      <c r="A435" s="5">
        <v>434</v>
      </c>
      <c r="B435" s="5" t="str">
        <f>"STATIM-"&amp;C435&amp;"-"&amp;D435&amp;"-"&amp;TEXT(COUNTIFS($C$2:C435,C435,$D$2:D435,D435),"000")</f>
        <v>STATIM-Reinsurance-All-012</v>
      </c>
      <c r="C435" s="5" t="s">
        <v>90</v>
      </c>
      <c r="D435" s="5" t="s">
        <v>191</v>
      </c>
      <c r="E435" s="5" t="s">
        <v>90</v>
      </c>
      <c r="F435" s="5" t="s">
        <v>93</v>
      </c>
      <c r="G435" s="7" t="s">
        <v>697</v>
      </c>
      <c r="H435" s="5" t="s">
        <v>43</v>
      </c>
    </row>
    <row r="436" spans="1:8" x14ac:dyDescent="0.25">
      <c r="A436" s="5">
        <v>435</v>
      </c>
      <c r="B436" s="5" t="str">
        <f>"STATIM-"&amp;C436&amp;"-"&amp;D436&amp;"-"&amp;TEXT(COUNTIFS($C$2:C436,C436,$D$2:D436,D436),"000")</f>
        <v>STATIM-UW-All-013</v>
      </c>
      <c r="C436" s="5" t="s">
        <v>8</v>
      </c>
      <c r="D436" s="5" t="s">
        <v>191</v>
      </c>
      <c r="E436" s="5" t="s">
        <v>17</v>
      </c>
      <c r="F436" s="5" t="s">
        <v>698</v>
      </c>
      <c r="G436" s="5" t="s">
        <v>699</v>
      </c>
      <c r="H436" s="5" t="s">
        <v>43</v>
      </c>
    </row>
    <row r="437" spans="1:8" x14ac:dyDescent="0.25">
      <c r="A437" s="5">
        <v>436</v>
      </c>
      <c r="B437" s="5" t="str">
        <f>"STATIM-"&amp;C437&amp;"-"&amp;D437&amp;"-"&amp;TEXT(COUNTIFS($C$2:C437,C437,$D$2:D437,D437),"000")</f>
        <v>STATIM-Claims-All-004</v>
      </c>
      <c r="C437" s="5" t="s">
        <v>95</v>
      </c>
      <c r="D437" s="5" t="s">
        <v>191</v>
      </c>
      <c r="E437" s="5" t="s">
        <v>95</v>
      </c>
      <c r="F437" s="5" t="s">
        <v>698</v>
      </c>
      <c r="G437" s="5" t="s">
        <v>700</v>
      </c>
      <c r="H437" s="5" t="s">
        <v>43</v>
      </c>
    </row>
    <row r="438" spans="1:8" x14ac:dyDescent="0.25">
      <c r="A438" s="5">
        <v>437</v>
      </c>
      <c r="B438" s="5" t="str">
        <f>"STATIM-"&amp;C438&amp;"-"&amp;D438&amp;"-"&amp;TEXT(COUNTIFS($C$2:C438,C438,$D$2:D438,D438),"000")</f>
        <v>STATIM-All-All-002</v>
      </c>
      <c r="C438" s="5" t="s">
        <v>191</v>
      </c>
      <c r="D438" s="5" t="s">
        <v>191</v>
      </c>
      <c r="E438" s="5" t="s">
        <v>10</v>
      </c>
      <c r="F438" s="5" t="s">
        <v>701</v>
      </c>
      <c r="G438" s="7" t="s">
        <v>702</v>
      </c>
      <c r="H438" s="5" t="s">
        <v>43</v>
      </c>
    </row>
    <row r="439" spans="1:8" x14ac:dyDescent="0.25">
      <c r="A439" s="5">
        <v>438</v>
      </c>
      <c r="B439" s="5" t="str">
        <f>"STATIM-"&amp;C439&amp;"-"&amp;D439&amp;"-"&amp;TEXT(COUNTIFS($C$2:C439,C439,$D$2:D439,D439),"000")</f>
        <v>STATIM-Claims-All-005</v>
      </c>
      <c r="C439" s="5" t="s">
        <v>95</v>
      </c>
      <c r="D439" s="5" t="s">
        <v>191</v>
      </c>
      <c r="E439" s="5" t="s">
        <v>95</v>
      </c>
      <c r="F439" s="5" t="s">
        <v>701</v>
      </c>
      <c r="G439" s="7" t="s">
        <v>703</v>
      </c>
      <c r="H439" s="5" t="s">
        <v>43</v>
      </c>
    </row>
    <row r="440" spans="1:8" x14ac:dyDescent="0.25">
      <c r="A440" s="5">
        <v>439</v>
      </c>
      <c r="B440" s="5" t="str">
        <f>"STATIM-"&amp;C440&amp;"-"&amp;D440&amp;"-"&amp;TEXT(COUNTIFS($C$2:C440,C440,$D$2:D440,D440),"000")</f>
        <v>STATIM-UW-All-014</v>
      </c>
      <c r="C440" s="5" t="s">
        <v>8</v>
      </c>
      <c r="D440" s="5" t="s">
        <v>191</v>
      </c>
      <c r="E440" s="5" t="s">
        <v>17</v>
      </c>
      <c r="F440" s="5" t="s">
        <v>701</v>
      </c>
      <c r="G440" s="7" t="s">
        <v>704</v>
      </c>
      <c r="H440" s="5" t="s">
        <v>43</v>
      </c>
    </row>
    <row r="441" spans="1:8" x14ac:dyDescent="0.25">
      <c r="A441" s="5">
        <v>440</v>
      </c>
      <c r="B441" s="5" t="str">
        <f>"STATIM-"&amp;C441&amp;"-"&amp;D441&amp;"-"&amp;TEXT(COUNTIFS($C$2:C441,C441,$D$2:D441,D441),"000")</f>
        <v>STATIM-Claims-All-006</v>
      </c>
      <c r="C441" s="5" t="s">
        <v>95</v>
      </c>
      <c r="D441" s="5" t="s">
        <v>191</v>
      </c>
      <c r="E441" s="5" t="s">
        <v>95</v>
      </c>
      <c r="F441" s="5" t="s">
        <v>701</v>
      </c>
      <c r="G441" s="7" t="s">
        <v>705</v>
      </c>
      <c r="H441" s="5" t="s">
        <v>43</v>
      </c>
    </row>
    <row r="442" spans="1:8" x14ac:dyDescent="0.25">
      <c r="A442" s="5">
        <v>441</v>
      </c>
      <c r="B442" s="5" t="str">
        <f>"STATIM-"&amp;C442&amp;"-"&amp;D442&amp;"-"&amp;TEXT(COUNTIFS($C$2:C442,C442,$D$2:D442,D442),"000")</f>
        <v>STATIM-All-All-003</v>
      </c>
      <c r="C442" s="5" t="s">
        <v>191</v>
      </c>
      <c r="D442" s="5" t="s">
        <v>191</v>
      </c>
      <c r="E442" s="5" t="s">
        <v>10</v>
      </c>
      <c r="F442" s="5" t="s">
        <v>701</v>
      </c>
      <c r="G442" s="7" t="s">
        <v>706</v>
      </c>
      <c r="H442" s="5" t="s">
        <v>43</v>
      </c>
    </row>
    <row r="443" spans="1:8" x14ac:dyDescent="0.25">
      <c r="A443" s="5">
        <v>442</v>
      </c>
      <c r="B443" s="5" t="str">
        <f>"STATIM-"&amp;C443&amp;"-"&amp;D443&amp;"-"&amp;TEXT(COUNTIFS($C$2:C443,C443,$D$2:D443,D443),"000")</f>
        <v>STATIM-UW-All-015</v>
      </c>
      <c r="C443" s="5" t="s">
        <v>8</v>
      </c>
      <c r="D443" s="5" t="s">
        <v>191</v>
      </c>
      <c r="E443" s="5" t="s">
        <v>17</v>
      </c>
      <c r="F443" s="5" t="s">
        <v>707</v>
      </c>
      <c r="G443" s="7" t="s">
        <v>708</v>
      </c>
      <c r="H443" s="5" t="s">
        <v>43</v>
      </c>
    </row>
    <row r="444" spans="1:8" ht="120" x14ac:dyDescent="0.25">
      <c r="A444" s="23">
        <v>444</v>
      </c>
      <c r="B444" s="23" t="str">
        <f>"STATIM-"&amp;C444&amp;"-"&amp;D444&amp;"-"&amp;TEXT(COUNTIFS($C$2:C444,C444,$D$2:D444,D444),"000")</f>
        <v>STATIM-UW-General-041</v>
      </c>
      <c r="C444" s="23" t="s">
        <v>8</v>
      </c>
      <c r="D444" s="23" t="s">
        <v>159</v>
      </c>
      <c r="E444" s="23" t="s">
        <v>17</v>
      </c>
      <c r="F444" s="23" t="s">
        <v>319</v>
      </c>
      <c r="G444" s="24" t="s">
        <v>709</v>
      </c>
      <c r="H444" s="23" t="s">
        <v>13</v>
      </c>
    </row>
    <row r="445" spans="1:8" x14ac:dyDescent="0.25">
      <c r="A445" s="5">
        <v>445</v>
      </c>
      <c r="B445" s="5" t="str">
        <f>"STATIM-"&amp;C445&amp;"-"&amp;D445&amp;"-"&amp;TEXT(COUNTIFS($C$2:C445,C445,$D$2:D445,D445),"000")</f>
        <v>STATIM-Claims-Motor-065</v>
      </c>
      <c r="C445" s="5" t="s">
        <v>95</v>
      </c>
      <c r="D445" s="5" t="s">
        <v>9</v>
      </c>
      <c r="E445" s="5" t="s">
        <v>95</v>
      </c>
      <c r="F445" s="5" t="s">
        <v>96</v>
      </c>
      <c r="G445" s="7" t="s">
        <v>710</v>
      </c>
      <c r="H445" s="5" t="s">
        <v>43</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6">
        <x14:dataValidation type="list" allowBlank="1" showInputMessage="1" showErrorMessage="1">
          <x14:formula1>
            <xm:f>'C:\Users\s3672\Downloads\[ACD - Consolidated V1.2.xlsx]Sheet3'!#REF!</xm:f>
          </x14:formula1>
          <xm:sqref>H168:H170 H173:H179 H181 H184 H191 H199 H203 H209 H218 H222 H224:H225 H240 H244 H247:H248 H251:H252 H159:H166 H256:H257</xm:sqref>
        </x14:dataValidation>
        <x14:dataValidation type="list" allowBlank="1" showInputMessage="1" showErrorMessage="1">
          <x14:formula1>
            <xm:f>'C:\Users\s3672\Downloads\[ACD - Consolidated V1.2.xlsx]Sheet3'!#REF!</xm:f>
          </x14:formula1>
          <xm:sqref>H266:H344 H346:H380 H382:H428 H156:H158 H69 H77</xm:sqref>
        </x14:dataValidation>
        <x14:dataValidation type="list" allowBlank="1" showInputMessage="1" showErrorMessage="1">
          <x14:formula1>
            <xm:f>'C:\Users\s3672\Downloads\[ACD - Consolidated V1.2.xlsx]Sheet3'!#REF!</xm:f>
          </x14:formula1>
          <xm:sqref>H155 H150</xm:sqref>
        </x14:dataValidation>
        <x14:dataValidation type="list" allowBlank="1" showInputMessage="1" showErrorMessage="1">
          <x14:formula1>
            <xm:f>'C:\Users\s3672\Downloads\[ACD - Consolidated V1.2.xlsx]Sheet3'!#REF!</xm:f>
          </x14:formula1>
          <xm:sqref>H11 H8 H28 H30 H32:H35 H37:H38 H41 H47 H49 H74 H80 H96:H97 H108 H133 H136 H144:H146 H26 H13 H429:H443 H445</xm:sqref>
        </x14:dataValidation>
        <x14:dataValidation type="list" allowBlank="1" showInputMessage="1" showErrorMessage="1">
          <x14:formula1>
            <xm:f>'C:\Users\s3672\Downloads\[ACD - Consolidated V1.2.xlsx]Sheet3'!#REF!</xm:f>
          </x14:formula1>
          <xm:sqref>H238:H239 H241:H243 H246 H249:H250 H253:H255 H259:H265 H6</xm:sqref>
        </x14:dataValidation>
        <x14:dataValidation type="list" allowBlank="1" showInputMessage="1" showErrorMessage="1">
          <x14:formula1>
            <xm:f>'C:\Users\s3672\Downloads\[ACD - Consolidated V1.2.xlsx]Sheet3'!#REF!</xm:f>
          </x14:formula1>
          <xm:sqref>H9:H10 H12 H245 H27 H29 H31 H36 H39:H40 H42:H46 H48 H109:H132 H78:H79 H134:H135 H137:H143 H147:H149 H151:H154 H167 H171:H172 H180 H182:H183 H185:H190 H192:H198 H200:H202 H204:H208 H210:H217 H219:H221 H223 H14:H25 H70:H73 H98:H107 H381 H7 H226:H237 H258 H345 H2:H5 H50:H68 H75:H76 H81:H95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Sriram Ramkumar</dc:creator>
  <cp:lastModifiedBy>Sriram Ramkumar</cp:lastModifiedBy>
  <dcterms:created xsi:type="dcterms:W3CDTF">2026-07-21T12:44:20Z</dcterms:created>
  <dcterms:modified xsi:type="dcterms:W3CDTF">2026-07-21T12:50:28Z</dcterms:modified>
</cp:coreProperties>
</file>